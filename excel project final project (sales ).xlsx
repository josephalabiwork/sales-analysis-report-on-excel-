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cad3e4b7df4ad98f/Documents/"/>
    </mc:Choice>
  </mc:AlternateContent>
  <xr:revisionPtr revIDLastSave="4093" documentId="8_{CE960117-9400-4CBE-8EB0-FEF180599672}" xr6:coauthVersionLast="47" xr6:coauthVersionMax="47" xr10:uidLastSave="{D319D993-51F6-4EFA-B2AA-1354F7F38AFF}"/>
  <bookViews>
    <workbookView xWindow="-110" yWindow="-110" windowWidth="25820" windowHeight="13900" activeTab="6" xr2:uid="{00000000-000D-0000-FFFF-FFFF00000000}"/>
  </bookViews>
  <sheets>
    <sheet name="dataset" sheetId="1" r:id="rId1"/>
    <sheet name="Questions" sheetId="2" r:id="rId2"/>
    <sheet name="pivot" sheetId="4" r:id="rId3"/>
    <sheet name="dashboard" sheetId="11" r:id="rId4"/>
    <sheet name="dashboard1" sheetId="12" r:id="rId5"/>
    <sheet name="dashboard 2" sheetId="13" r:id="rId6"/>
    <sheet name="dashboard 3 " sheetId="14" r:id="rId7"/>
  </sheets>
  <definedNames>
    <definedName name="Slicer_Category">#N/A</definedName>
    <definedName name="Slicer_Product">#N/A</definedName>
    <definedName name="Slicer_Region">#N/A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P15"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2" i="1"/>
  <c r="L783" i="1"/>
  <c r="M783" i="1" s="1"/>
  <c r="N783" i="1" s="1"/>
  <c r="L286" i="1"/>
  <c r="L300" i="1"/>
  <c r="L351" i="1"/>
  <c r="L455" i="1"/>
  <c r="L519" i="1"/>
  <c r="L530" i="1"/>
  <c r="L588" i="1"/>
  <c r="L661" i="1"/>
  <c r="L708" i="1"/>
  <c r="L691" i="1"/>
  <c r="L8" i="1"/>
  <c r="L54" i="1"/>
  <c r="M54" i="1" s="1"/>
  <c r="N54" i="1" s="1"/>
  <c r="L242" i="1"/>
  <c r="L328" i="1"/>
  <c r="L389" i="1"/>
  <c r="L414" i="1"/>
  <c r="L416" i="1"/>
  <c r="L478" i="1"/>
  <c r="L554" i="1"/>
  <c r="L629" i="1"/>
  <c r="L693" i="1"/>
  <c r="L718" i="1"/>
  <c r="L136" i="1"/>
  <c r="L49" i="1"/>
  <c r="L198" i="1"/>
  <c r="L443" i="1"/>
  <c r="L499" i="1"/>
  <c r="L540" i="1"/>
  <c r="L684" i="1"/>
  <c r="L701" i="1"/>
  <c r="L213" i="1"/>
  <c r="L787" i="1"/>
  <c r="L6" i="1"/>
  <c r="L71" i="1"/>
  <c r="L95" i="1"/>
  <c r="L243" i="1"/>
  <c r="L273" i="1"/>
  <c r="L277" i="1"/>
  <c r="L310" i="1"/>
  <c r="L383" i="1"/>
  <c r="M383" i="1" s="1"/>
  <c r="N383" i="1" s="1"/>
  <c r="L483" i="1"/>
  <c r="L611" i="1"/>
  <c r="L642" i="1"/>
  <c r="L725" i="1"/>
  <c r="L762" i="1"/>
  <c r="L76" i="1"/>
  <c r="L456" i="1"/>
  <c r="L577" i="1"/>
  <c r="L581" i="1"/>
  <c r="L258" i="1"/>
  <c r="L792" i="1"/>
  <c r="L111" i="1"/>
  <c r="L235" i="1"/>
  <c r="L341" i="1"/>
  <c r="L520" i="1"/>
  <c r="L559" i="1"/>
  <c r="M559" i="1" s="1"/>
  <c r="N559" i="1" s="1"/>
  <c r="L582" i="1"/>
  <c r="L640" i="1"/>
  <c r="L658" i="1"/>
  <c r="L728" i="1"/>
  <c r="L602" i="1"/>
  <c r="L624" i="1"/>
  <c r="L12" i="1"/>
  <c r="L536" i="1"/>
  <c r="L576" i="1"/>
  <c r="L652" i="1"/>
  <c r="L670" i="1"/>
  <c r="M670" i="1" s="1"/>
  <c r="N670" i="1" s="1"/>
  <c r="L697" i="1"/>
  <c r="L719" i="1"/>
  <c r="L91" i="1"/>
  <c r="L789" i="1"/>
  <c r="L793" i="1"/>
  <c r="M793" i="1" s="1"/>
  <c r="N793" i="1" s="1"/>
  <c r="L13" i="1"/>
  <c r="M13" i="1" s="1"/>
  <c r="N13" i="1" s="1"/>
  <c r="L27" i="1"/>
  <c r="L33" i="1"/>
  <c r="L64" i="1"/>
  <c r="L128" i="1"/>
  <c r="L166" i="1"/>
  <c r="L176" i="1"/>
  <c r="L222" i="1"/>
  <c r="L323" i="1"/>
  <c r="L448" i="1"/>
  <c r="L493" i="1"/>
  <c r="L529" i="1"/>
  <c r="L532" i="1"/>
  <c r="L595" i="1"/>
  <c r="L648" i="1"/>
  <c r="L347" i="1"/>
  <c r="L788" i="1"/>
  <c r="L29" i="1"/>
  <c r="L267" i="1"/>
  <c r="L271" i="1"/>
  <c r="L282" i="1"/>
  <c r="L326" i="1"/>
  <c r="L361" i="1"/>
  <c r="L625" i="1"/>
  <c r="L674" i="1"/>
  <c r="L56" i="1"/>
  <c r="L325" i="1"/>
  <c r="L477" i="1"/>
  <c r="L517" i="1"/>
  <c r="L752" i="1"/>
  <c r="L21" i="1"/>
  <c r="L37" i="1"/>
  <c r="L283" i="1"/>
  <c r="L563" i="1"/>
  <c r="L666" i="1"/>
  <c r="L774" i="1"/>
  <c r="L225" i="1"/>
  <c r="L424" i="1"/>
  <c r="L10" i="1"/>
  <c r="L23" i="1"/>
  <c r="L74" i="1"/>
  <c r="M74" i="1" s="1"/>
  <c r="N74" i="1" s="1"/>
  <c r="L117" i="1"/>
  <c r="M117" i="1" s="1"/>
  <c r="N117" i="1" s="1"/>
  <c r="L154" i="1"/>
  <c r="L330" i="1"/>
  <c r="L460" i="1"/>
  <c r="M460" i="1" s="1"/>
  <c r="N460" i="1" s="1"/>
  <c r="L659" i="1"/>
  <c r="L727" i="1"/>
  <c r="L769" i="1"/>
  <c r="L239" i="1"/>
  <c r="L384" i="1"/>
  <c r="L465" i="1"/>
  <c r="L561" i="1"/>
  <c r="L562" i="1"/>
  <c r="L570" i="1"/>
  <c r="L743" i="1"/>
  <c r="L52" i="1"/>
  <c r="L119" i="1"/>
  <c r="L144" i="1"/>
  <c r="L312" i="1"/>
  <c r="L494" i="1"/>
  <c r="M494" i="1" s="1"/>
  <c r="N494" i="1" s="1"/>
  <c r="L700" i="1"/>
  <c r="L706" i="1"/>
  <c r="L9" i="1"/>
  <c r="L86" i="1"/>
  <c r="L211" i="1"/>
  <c r="L295" i="1"/>
  <c r="L372" i="1"/>
  <c r="L423" i="1"/>
  <c r="M423" i="1" s="1"/>
  <c r="N423" i="1" s="1"/>
  <c r="L605" i="1"/>
  <c r="L636" i="1"/>
  <c r="L761" i="1"/>
  <c r="L765" i="1"/>
  <c r="L773" i="1"/>
  <c r="L215" i="1"/>
  <c r="L266" i="1"/>
  <c r="L521" i="1"/>
  <c r="L567" i="1"/>
  <c r="L656" i="1"/>
  <c r="L458" i="1"/>
  <c r="L45" i="1"/>
  <c r="L207" i="1"/>
  <c r="L274" i="1"/>
  <c r="L346" i="1"/>
  <c r="L627" i="1"/>
  <c r="L662" i="1"/>
  <c r="L747" i="1"/>
  <c r="L759" i="1"/>
  <c r="L251" i="1"/>
  <c r="L381" i="1"/>
  <c r="L447" i="1"/>
  <c r="L546" i="1"/>
  <c r="M546" i="1" s="1"/>
  <c r="N546" i="1" s="1"/>
  <c r="L82" i="1"/>
  <c r="L97" i="1"/>
  <c r="L137" i="1"/>
  <c r="L188" i="1"/>
  <c r="L334" i="1"/>
  <c r="L357" i="1"/>
  <c r="L406" i="1"/>
  <c r="L543" i="1"/>
  <c r="L785" i="1"/>
  <c r="L121" i="1"/>
  <c r="L139" i="1"/>
  <c r="L146" i="1"/>
  <c r="L200" i="1"/>
  <c r="L365" i="1"/>
  <c r="L390" i="1"/>
  <c r="L400" i="1"/>
  <c r="L484" i="1"/>
  <c r="L516" i="1"/>
  <c r="L620" i="1"/>
  <c r="L771" i="1"/>
  <c r="L53" i="1"/>
  <c r="L73" i="1"/>
  <c r="L153" i="1"/>
  <c r="L276" i="1"/>
  <c r="L385" i="1"/>
  <c r="L412" i="1"/>
  <c r="M412" i="1" s="1"/>
  <c r="N412" i="1" s="1"/>
  <c r="L509" i="1"/>
  <c r="L572" i="1"/>
  <c r="L699" i="1"/>
  <c r="L714" i="1"/>
  <c r="M714" i="1" s="1"/>
  <c r="N714" i="1" s="1"/>
  <c r="L147" i="1"/>
  <c r="L169" i="1"/>
  <c r="L206" i="1"/>
  <c r="L209" i="1"/>
  <c r="L241" i="1"/>
  <c r="M241" i="1" s="1"/>
  <c r="N241" i="1" s="1"/>
  <c r="L245" i="1"/>
  <c r="L297" i="1"/>
  <c r="L339" i="1"/>
  <c r="L353" i="1"/>
  <c r="L584" i="1"/>
  <c r="L766" i="1"/>
  <c r="L291" i="1"/>
  <c r="L237" i="1"/>
  <c r="L314" i="1"/>
  <c r="L654" i="1"/>
  <c r="L672" i="1"/>
  <c r="M672" i="1" s="1"/>
  <c r="N672" i="1" s="1"/>
  <c r="L446" i="1"/>
  <c r="L47" i="1"/>
  <c r="L30" i="1"/>
  <c r="L109" i="1"/>
  <c r="L171" i="1"/>
  <c r="L189" i="1"/>
  <c r="L427" i="1"/>
  <c r="L442" i="1"/>
  <c r="L457" i="1"/>
  <c r="L459" i="1"/>
  <c r="L479" i="1"/>
  <c r="L495" i="1"/>
  <c r="L564" i="1"/>
  <c r="L604" i="1"/>
  <c r="L502" i="1"/>
  <c r="L7" i="1"/>
  <c r="L35" i="1"/>
  <c r="L100" i="1"/>
  <c r="L108" i="1"/>
  <c r="L249" i="1"/>
  <c r="L264" i="1"/>
  <c r="L299" i="1"/>
  <c r="L450" i="1"/>
  <c r="L496" i="1"/>
  <c r="M496" i="1" s="1"/>
  <c r="N496" i="1" s="1"/>
  <c r="L795" i="1"/>
  <c r="L34" i="1"/>
  <c r="L259" i="1"/>
  <c r="M259" i="1" s="1"/>
  <c r="N259" i="1" s="1"/>
  <c r="L301" i="1"/>
  <c r="L791" i="1"/>
  <c r="L800" i="1"/>
  <c r="L22" i="1"/>
  <c r="M22" i="1" s="1"/>
  <c r="N22" i="1" s="1"/>
  <c r="L246" i="1"/>
  <c r="L377" i="1"/>
  <c r="L415" i="1"/>
  <c r="L449" i="1"/>
  <c r="L466" i="1"/>
  <c r="L485" i="1"/>
  <c r="L623" i="1"/>
  <c r="L676" i="1"/>
  <c r="L779" i="1"/>
  <c r="L613" i="1"/>
  <c r="M613" i="1" s="1"/>
  <c r="N613" i="1" s="1"/>
  <c r="L65" i="1"/>
  <c r="L124" i="1"/>
  <c r="L151" i="1"/>
  <c r="L342" i="1"/>
  <c r="L556" i="1"/>
  <c r="L593" i="1"/>
  <c r="L650" i="1"/>
  <c r="L737" i="1"/>
  <c r="L569" i="1"/>
  <c r="L396" i="1"/>
  <c r="L417" i="1"/>
  <c r="L592" i="1"/>
  <c r="L596" i="1"/>
  <c r="L48" i="1"/>
  <c r="L70" i="1"/>
  <c r="L132" i="1"/>
  <c r="L233" i="1"/>
  <c r="L296" i="1"/>
  <c r="L421" i="1"/>
  <c r="L518" i="1"/>
  <c r="L585" i="1"/>
  <c r="L612" i="1"/>
  <c r="L681" i="1"/>
  <c r="L730" i="1"/>
  <c r="L80" i="1"/>
  <c r="L180" i="1"/>
  <c r="L78" i="1"/>
  <c r="L425" i="1"/>
  <c r="L491" i="1"/>
  <c r="L702" i="1"/>
  <c r="M702" i="1" s="1"/>
  <c r="N702" i="1" s="1"/>
  <c r="L67" i="1"/>
  <c r="L140" i="1"/>
  <c r="L163" i="1"/>
  <c r="L192" i="1"/>
  <c r="L426" i="1"/>
  <c r="L772" i="1"/>
  <c r="L784" i="1"/>
  <c r="L797" i="1"/>
  <c r="L79" i="1"/>
  <c r="L316" i="1"/>
  <c r="L340" i="1"/>
  <c r="L436" i="1"/>
  <c r="L565" i="1"/>
  <c r="L649" i="1"/>
  <c r="L671" i="1"/>
  <c r="L722" i="1"/>
  <c r="L402" i="1"/>
  <c r="L757" i="1"/>
  <c r="L801" i="1"/>
  <c r="L157" i="1"/>
  <c r="L507" i="1"/>
  <c r="L780" i="1"/>
  <c r="L165" i="1"/>
  <c r="L227" i="1"/>
  <c r="M227" i="1" s="1"/>
  <c r="N227" i="1" s="1"/>
  <c r="L359" i="1"/>
  <c r="L506" i="1"/>
  <c r="L515" i="1"/>
  <c r="L528" i="1"/>
  <c r="L552" i="1"/>
  <c r="M552" i="1" s="1"/>
  <c r="N552" i="1" s="1"/>
  <c r="L607" i="1"/>
  <c r="L633" i="1"/>
  <c r="L754" i="1"/>
  <c r="M754" i="1" s="1"/>
  <c r="N754" i="1" s="1"/>
  <c r="L369" i="1"/>
  <c r="L391" i="1"/>
  <c r="L28" i="1"/>
  <c r="L42" i="1"/>
  <c r="L203" i="1"/>
  <c r="L238" i="1"/>
  <c r="L270" i="1"/>
  <c r="L275" i="1"/>
  <c r="L293" i="1"/>
  <c r="L371" i="1"/>
  <c r="L490" i="1"/>
  <c r="L510" i="1"/>
  <c r="L741" i="1"/>
  <c r="L92" i="1"/>
  <c r="L428" i="1"/>
  <c r="L434" i="1"/>
  <c r="L445" i="1"/>
  <c r="L645" i="1"/>
  <c r="L647" i="1"/>
  <c r="L665" i="1"/>
  <c r="L158" i="1"/>
  <c r="L358" i="1"/>
  <c r="L18" i="1"/>
  <c r="M18" i="1" s="1"/>
  <c r="N18" i="1" s="1"/>
  <c r="L44" i="1"/>
  <c r="L57" i="1"/>
  <c r="L130" i="1"/>
  <c r="L156" i="1"/>
  <c r="L175" i="1"/>
  <c r="L262" i="1"/>
  <c r="L317" i="1"/>
  <c r="L541" i="1"/>
  <c r="L36" i="1"/>
  <c r="L125" i="1"/>
  <c r="L43" i="1"/>
  <c r="L205" i="1"/>
  <c r="L244" i="1"/>
  <c r="L305" i="1"/>
  <c r="L405" i="1"/>
  <c r="L503" i="1"/>
  <c r="L508" i="1"/>
  <c r="L527" i="1"/>
  <c r="L598" i="1"/>
  <c r="L616" i="1"/>
  <c r="L138" i="1"/>
  <c r="L329" i="1"/>
  <c r="L398" i="1"/>
  <c r="L409" i="1"/>
  <c r="L468" i="1"/>
  <c r="L571" i="1"/>
  <c r="L601" i="1"/>
  <c r="L742" i="1"/>
  <c r="L224" i="1"/>
  <c r="L14" i="1"/>
  <c r="L480" i="1"/>
  <c r="L646" i="1"/>
  <c r="L345" i="1"/>
  <c r="L512" i="1"/>
  <c r="M512" i="1" s="1"/>
  <c r="N512" i="1" s="1"/>
  <c r="L603" i="1"/>
  <c r="L721" i="1"/>
  <c r="L63" i="1"/>
  <c r="L308" i="1"/>
  <c r="L331" i="1"/>
  <c r="L370" i="1"/>
  <c r="L419" i="1"/>
  <c r="M419" i="1" s="1"/>
  <c r="N419" i="1" s="1"/>
  <c r="L481" i="1"/>
  <c r="L610" i="1"/>
  <c r="L580" i="1"/>
  <c r="L796" i="1"/>
  <c r="L59" i="1"/>
  <c r="L142" i="1"/>
  <c r="L265" i="1"/>
  <c r="L272" i="1"/>
  <c r="L486" i="1"/>
  <c r="L606" i="1"/>
  <c r="L748" i="1"/>
  <c r="L248" i="1"/>
  <c r="L261" i="1"/>
  <c r="L354" i="1"/>
  <c r="L461" i="1"/>
  <c r="L594" i="1"/>
  <c r="M594" i="1" s="1"/>
  <c r="N594" i="1" s="1"/>
  <c r="L698" i="1"/>
  <c r="L777" i="1"/>
  <c r="M777" i="1" s="1"/>
  <c r="N777" i="1" s="1"/>
  <c r="L113" i="1"/>
  <c r="L635" i="1"/>
  <c r="L184" i="1"/>
  <c r="L186" i="1"/>
  <c r="L407" i="1"/>
  <c r="L710" i="1"/>
  <c r="L313" i="1"/>
  <c r="L31" i="1"/>
  <c r="L39" i="1"/>
  <c r="L183" i="1"/>
  <c r="L294" i="1"/>
  <c r="L463" i="1"/>
  <c r="L89" i="1"/>
  <c r="L149" i="1"/>
  <c r="L194" i="1"/>
  <c r="L210" i="1"/>
  <c r="L223" i="1"/>
  <c r="L523" i="1"/>
  <c r="L553" i="1"/>
  <c r="M553" i="1" s="1"/>
  <c r="N553" i="1" s="1"/>
  <c r="L619" i="1"/>
  <c r="L632" i="1"/>
  <c r="L675" i="1"/>
  <c r="L105" i="1"/>
  <c r="L112" i="1"/>
  <c r="L164" i="1"/>
  <c r="L193" i="1"/>
  <c r="L196" i="1"/>
  <c r="L221" i="1"/>
  <c r="L343" i="1"/>
  <c r="L388" i="1"/>
  <c r="L392" i="1"/>
  <c r="L454" i="1"/>
  <c r="L653" i="1"/>
  <c r="L738" i="1"/>
  <c r="L155" i="1"/>
  <c r="L179" i="1"/>
  <c r="L281" i="1"/>
  <c r="L420" i="1"/>
  <c r="L467" i="1"/>
  <c r="L492" i="1"/>
  <c r="L560" i="1"/>
  <c r="L608" i="1"/>
  <c r="L711" i="1"/>
  <c r="L2" i="1"/>
  <c r="L435" i="1"/>
  <c r="L107" i="1"/>
  <c r="L667" i="1"/>
  <c r="L778" i="1"/>
  <c r="L311" i="1"/>
  <c r="L352" i="1"/>
  <c r="L430" i="1"/>
  <c r="L439" i="1"/>
  <c r="L690" i="1"/>
  <c r="M690" i="1" s="1"/>
  <c r="N690" i="1" s="1"/>
  <c r="L745" i="1"/>
  <c r="L208" i="1"/>
  <c r="L504" i="1"/>
  <c r="L622" i="1"/>
  <c r="L685" i="1"/>
  <c r="L764" i="1"/>
  <c r="L798" i="1"/>
  <c r="L46" i="1"/>
  <c r="L104" i="1"/>
  <c r="L152" i="1"/>
  <c r="L218" i="1"/>
  <c r="L362" i="1"/>
  <c r="M362" i="1" s="1"/>
  <c r="N362" i="1" s="1"/>
  <c r="L471" i="1"/>
  <c r="L531" i="1"/>
  <c r="L568" i="1"/>
  <c r="L617" i="1"/>
  <c r="L677" i="1"/>
  <c r="L705" i="1"/>
  <c r="L129" i="1"/>
  <c r="M129" i="1" s="1"/>
  <c r="N129" i="1" s="1"/>
  <c r="L253" i="1"/>
  <c r="L256" i="1"/>
  <c r="L303" i="1"/>
  <c r="L375" i="1"/>
  <c r="L433" i="1"/>
  <c r="M433" i="1" s="1"/>
  <c r="N433" i="1" s="1"/>
  <c r="L451" i="1"/>
  <c r="L489" i="1"/>
  <c r="L573" i="1"/>
  <c r="L586" i="1"/>
  <c r="L763" i="1"/>
  <c r="L90" i="1"/>
  <c r="L337" i="1"/>
  <c r="L355" i="1"/>
  <c r="L378" i="1"/>
  <c r="L651" i="1"/>
  <c r="L799" i="1"/>
  <c r="L318" i="1"/>
  <c r="L376" i="1"/>
  <c r="L397" i="1"/>
  <c r="L440" i="1"/>
  <c r="L453" i="1"/>
  <c r="L472" i="1"/>
  <c r="L723" i="1"/>
  <c r="L782" i="1"/>
  <c r="L51" i="1"/>
  <c r="L131" i="1"/>
  <c r="L145" i="1"/>
  <c r="L197" i="1"/>
  <c r="M197" i="1" s="1"/>
  <c r="N197" i="1" s="1"/>
  <c r="L219" i="1"/>
  <c r="L438" i="1"/>
  <c r="L545" i="1"/>
  <c r="L734" i="1"/>
  <c r="L380" i="1"/>
  <c r="L746" i="1"/>
  <c r="L77" i="1"/>
  <c r="L93" i="1"/>
  <c r="L110" i="1"/>
  <c r="L178" i="1"/>
  <c r="L216" i="1"/>
  <c r="L393" i="1"/>
  <c r="L487" i="1"/>
  <c r="L776" i="1"/>
  <c r="L16" i="1"/>
  <c r="L159" i="1"/>
  <c r="L643" i="1"/>
  <c r="L673" i="1"/>
  <c r="M673" i="1" s="1"/>
  <c r="N673" i="1" s="1"/>
  <c r="L707" i="1"/>
  <c r="L729" i="1"/>
  <c r="L760" i="1"/>
  <c r="L69" i="1"/>
  <c r="L535" i="1"/>
  <c r="L11" i="1"/>
  <c r="L83" i="1"/>
  <c r="L214" i="1"/>
  <c r="L229" i="1"/>
  <c r="L482" i="1"/>
  <c r="L522" i="1"/>
  <c r="L781" i="1"/>
  <c r="L25" i="1"/>
  <c r="L469" i="1"/>
  <c r="M469" i="1" s="1"/>
  <c r="N469" i="1" s="1"/>
  <c r="L786" i="1"/>
  <c r="L26" i="1"/>
  <c r="L41" i="1"/>
  <c r="L94" i="1"/>
  <c r="L126" i="1"/>
  <c r="L220" i="1"/>
  <c r="L356" i="1"/>
  <c r="M356" i="1" s="1"/>
  <c r="N356" i="1" s="1"/>
  <c r="L374" i="1"/>
  <c r="L401" i="1"/>
  <c r="L403" i="1"/>
  <c r="L404" i="1"/>
  <c r="L408" i="1"/>
  <c r="L441" i="1"/>
  <c r="L462" i="1"/>
  <c r="M462" i="1" s="1"/>
  <c r="N462" i="1" s="1"/>
  <c r="L615" i="1"/>
  <c r="L663" i="1"/>
  <c r="L692" i="1"/>
  <c r="L61" i="1"/>
  <c r="L141" i="1"/>
  <c r="L143" i="1"/>
  <c r="L150" i="1"/>
  <c r="M150" i="1" s="1"/>
  <c r="N150" i="1" s="1"/>
  <c r="L173" i="1"/>
  <c r="L182" i="1"/>
  <c r="L230" i="1"/>
  <c r="L360" i="1"/>
  <c r="L511" i="1"/>
  <c r="L533" i="1"/>
  <c r="M533" i="1" s="1"/>
  <c r="N533" i="1" s="1"/>
  <c r="L634" i="1"/>
  <c r="L413" i="1"/>
  <c r="L204" i="1"/>
  <c r="L212" i="1"/>
  <c r="L285" i="1"/>
  <c r="L422" i="1"/>
  <c r="M422" i="1" s="1"/>
  <c r="N422" i="1" s="1"/>
  <c r="L437" i="1"/>
  <c r="L579" i="1"/>
  <c r="L689" i="1"/>
  <c r="L716" i="1"/>
  <c r="L739" i="1"/>
  <c r="L740" i="1"/>
  <c r="L724" i="1"/>
  <c r="L60" i="1"/>
  <c r="L88" i="1"/>
  <c r="L123" i="1"/>
  <c r="L185" i="1"/>
  <c r="L201" i="1"/>
  <c r="L550" i="1"/>
  <c r="L555" i="1"/>
  <c r="L626" i="1"/>
  <c r="L628" i="1"/>
  <c r="L630" i="1"/>
  <c r="L731" i="1"/>
  <c r="L753" i="1"/>
  <c r="L191" i="1"/>
  <c r="L199" i="1"/>
  <c r="L411" i="1"/>
  <c r="L597" i="1"/>
  <c r="L767" i="1"/>
  <c r="L768" i="1"/>
  <c r="L62" i="1"/>
  <c r="L307" i="1"/>
  <c r="L364" i="1"/>
  <c r="L488" i="1"/>
  <c r="L549" i="1"/>
  <c r="L279" i="1"/>
  <c r="L348" i="1"/>
  <c r="L367" i="1"/>
  <c r="L574" i="1"/>
  <c r="M574" i="1" s="1"/>
  <c r="N574" i="1" s="1"/>
  <c r="L732" i="1"/>
  <c r="L750" i="1"/>
  <c r="L524" i="1"/>
  <c r="L84" i="1"/>
  <c r="L195" i="1"/>
  <c r="L252" i="1"/>
  <c r="L254" i="1"/>
  <c r="L309" i="1"/>
  <c r="L551" i="1"/>
  <c r="L618" i="1"/>
  <c r="L717" i="1"/>
  <c r="L3" i="1"/>
  <c r="L20" i="1"/>
  <c r="L38" i="1"/>
  <c r="L172" i="1"/>
  <c r="L268" i="1"/>
  <c r="L288" i="1"/>
  <c r="L315" i="1"/>
  <c r="L395" i="1"/>
  <c r="M395" i="1" s="1"/>
  <c r="N395" i="1" s="1"/>
  <c r="L410" i="1"/>
  <c r="L749" i="1"/>
  <c r="L102" i="1"/>
  <c r="L127" i="1"/>
  <c r="L394" i="1"/>
  <c r="L464" i="1"/>
  <c r="L475" i="1"/>
  <c r="L498" i="1"/>
  <c r="L537" i="1"/>
  <c r="L24" i="1"/>
  <c r="L50" i="1"/>
  <c r="L81" i="1"/>
  <c r="L85" i="1"/>
  <c r="L115" i="1"/>
  <c r="L134" i="1"/>
  <c r="L379" i="1"/>
  <c r="L501" i="1"/>
  <c r="L587" i="1"/>
  <c r="L621" i="1"/>
  <c r="L694" i="1"/>
  <c r="M694" i="1" s="1"/>
  <c r="N694" i="1" s="1"/>
  <c r="L733" i="1"/>
  <c r="M733" i="1" s="1"/>
  <c r="N733" i="1" s="1"/>
  <c r="L744" i="1"/>
  <c r="L513" i="1"/>
  <c r="L680" i="1"/>
  <c r="L234" i="1"/>
  <c r="L250" i="1"/>
  <c r="L289" i="1"/>
  <c r="L349" i="1"/>
  <c r="L539" i="1"/>
  <c r="L637" i="1"/>
  <c r="L280" i="1"/>
  <c r="L657" i="1"/>
  <c r="L669" i="1"/>
  <c r="L32" i="1"/>
  <c r="L133" i="1"/>
  <c r="L162" i="1"/>
  <c r="L290" i="1"/>
  <c r="L319" i="1"/>
  <c r="L322" i="1"/>
  <c r="L382" i="1"/>
  <c r="L476" i="1"/>
  <c r="M476" i="1" s="1"/>
  <c r="N476" i="1" s="1"/>
  <c r="L526" i="1"/>
  <c r="L534" i="1"/>
  <c r="L682" i="1"/>
  <c r="L709" i="1"/>
  <c r="L735" i="1"/>
  <c r="L4" i="1"/>
  <c r="L40" i="1"/>
  <c r="L161" i="1"/>
  <c r="L306" i="1"/>
  <c r="L332" i="1"/>
  <c r="L350" i="1"/>
  <c r="L429" i="1"/>
  <c r="L578" i="1"/>
  <c r="L599" i="1"/>
  <c r="L631" i="1"/>
  <c r="M631" i="1" s="1"/>
  <c r="N631" i="1" s="1"/>
  <c r="L720" i="1"/>
  <c r="L775" i="1"/>
  <c r="L557" i="1"/>
  <c r="L103" i="1"/>
  <c r="L368" i="1"/>
  <c r="L770" i="1"/>
  <c r="L558" i="1"/>
  <c r="M558" i="1" s="1"/>
  <c r="N558" i="1" s="1"/>
  <c r="L19" i="1"/>
  <c r="M19" i="1" s="1"/>
  <c r="N19" i="1" s="1"/>
  <c r="L118" i="1"/>
  <c r="L122" i="1"/>
  <c r="L148" i="1"/>
  <c r="L228" i="1"/>
  <c r="L260" i="1"/>
  <c r="L263" i="1"/>
  <c r="L363" i="1"/>
  <c r="L514" i="1"/>
  <c r="L644" i="1"/>
  <c r="L688" i="1"/>
  <c r="L715" i="1"/>
  <c r="L269" i="1"/>
  <c r="L336" i="1"/>
  <c r="L790" i="1"/>
  <c r="L55" i="1"/>
  <c r="L170" i="1"/>
  <c r="L177" i="1"/>
  <c r="L187" i="1"/>
  <c r="L257" i="1"/>
  <c r="L366" i="1"/>
  <c r="L726" i="1"/>
  <c r="L751" i="1"/>
  <c r="L202" i="1"/>
  <c r="M202" i="1" s="1"/>
  <c r="N202" i="1" s="1"/>
  <c r="L247" i="1"/>
  <c r="L284" i="1"/>
  <c r="M284" i="1" s="1"/>
  <c r="N284" i="1" s="1"/>
  <c r="L544" i="1"/>
  <c r="L600" i="1"/>
  <c r="L678" i="1"/>
  <c r="L686" i="1"/>
  <c r="L98" i="1"/>
  <c r="L174" i="1"/>
  <c r="L181" i="1"/>
  <c r="L304" i="1"/>
  <c r="L470" i="1"/>
  <c r="L505" i="1"/>
  <c r="L589" i="1"/>
  <c r="L703" i="1"/>
  <c r="L335" i="1"/>
  <c r="L302" i="1"/>
  <c r="L101" i="1"/>
  <c r="L135" i="1"/>
  <c r="L240" i="1"/>
  <c r="M240" i="1" s="1"/>
  <c r="N240" i="1" s="1"/>
  <c r="L566" i="1"/>
  <c r="L683" i="1"/>
  <c r="M683" i="1" s="1"/>
  <c r="N683" i="1" s="1"/>
  <c r="L755" i="1"/>
  <c r="L217" i="1"/>
  <c r="L278" i="1"/>
  <c r="L292" i="1"/>
  <c r="L333" i="1"/>
  <c r="L387" i="1"/>
  <c r="L695" i="1"/>
  <c r="L591" i="1"/>
  <c r="M591" i="1" s="1"/>
  <c r="N591" i="1" s="1"/>
  <c r="L17" i="1"/>
  <c r="L66" i="1"/>
  <c r="L106" i="1"/>
  <c r="L160" i="1"/>
  <c r="L431" i="1"/>
  <c r="L525" i="1"/>
  <c r="L609" i="1"/>
  <c r="L641" i="1"/>
  <c r="L664" i="1"/>
  <c r="L116" i="1"/>
  <c r="L226" i="1"/>
  <c r="L298" i="1"/>
  <c r="L432" i="1"/>
  <c r="L639" i="1"/>
  <c r="L687" i="1"/>
  <c r="L324" i="1"/>
  <c r="L87" i="1"/>
  <c r="L190" i="1"/>
  <c r="L399" i="1"/>
  <c r="L548" i="1"/>
  <c r="L712" i="1"/>
  <c r="M712" i="1" s="1"/>
  <c r="N712" i="1" s="1"/>
  <c r="L99" i="1"/>
  <c r="L418" i="1"/>
  <c r="L452" i="1"/>
  <c r="L679" i="1"/>
  <c r="L58" i="1"/>
  <c r="L68" i="1"/>
  <c r="L168" i="1"/>
  <c r="L473" i="1"/>
  <c r="L696" i="1"/>
  <c r="L794" i="1"/>
  <c r="L167" i="1"/>
  <c r="L287" i="1"/>
  <c r="L373" i="1"/>
  <c r="L655" i="1"/>
  <c r="L736" i="1"/>
  <c r="L758" i="1"/>
  <c r="L321" i="1"/>
  <c r="L327" i="1"/>
  <c r="L500" i="1"/>
  <c r="L538" i="1"/>
  <c r="L575" i="1"/>
  <c r="L236" i="1"/>
  <c r="L72" i="1"/>
  <c r="L231" i="1"/>
  <c r="L320" i="1"/>
  <c r="L338" i="1"/>
  <c r="M338" i="1" s="1"/>
  <c r="N338" i="1" s="1"/>
  <c r="L386" i="1"/>
  <c r="L474" i="1"/>
  <c r="L542" i="1"/>
  <c r="L590" i="1"/>
  <c r="L668" i="1"/>
  <c r="L713" i="1"/>
  <c r="L5" i="1"/>
  <c r="M5" i="1" s="1"/>
  <c r="N5" i="1" s="1"/>
  <c r="L15" i="1"/>
  <c r="L75" i="1"/>
  <c r="L120" i="1"/>
  <c r="L255" i="1"/>
  <c r="L344" i="1"/>
  <c r="L444" i="1"/>
  <c r="L497" i="1"/>
  <c r="L614" i="1"/>
  <c r="L756" i="1"/>
  <c r="L96" i="1"/>
  <c r="L232" i="1"/>
  <c r="L547" i="1"/>
  <c r="L583" i="1"/>
  <c r="L638" i="1"/>
  <c r="L660" i="1"/>
  <c r="M660" i="1" s="1"/>
  <c r="N660" i="1" s="1"/>
  <c r="L704" i="1"/>
  <c r="L114" i="1"/>
  <c r="Q2" i="1"/>
  <c r="P3" i="1"/>
  <c r="J95" i="4"/>
  <c r="F33" i="4"/>
  <c r="S24" i="4"/>
  <c r="O30" i="4"/>
  <c r="P48" i="4"/>
  <c r="M688" i="1" l="1"/>
  <c r="N688" i="1" s="1"/>
  <c r="M222" i="1"/>
  <c r="N222" i="1" s="1"/>
  <c r="M83" i="1"/>
  <c r="N83" i="1" s="1"/>
  <c r="M659" i="1"/>
  <c r="N659" i="1" s="1"/>
  <c r="M619" i="1"/>
  <c r="N619" i="1" s="1"/>
  <c r="M439" i="1"/>
  <c r="N439" i="1" s="1"/>
  <c r="M555" i="1"/>
  <c r="N555" i="1" s="1"/>
  <c r="M235" i="1"/>
  <c r="N235" i="1" s="1"/>
  <c r="M633" i="1"/>
  <c r="N633" i="1" s="1"/>
  <c r="M213" i="1"/>
  <c r="N213" i="1" s="1"/>
  <c r="M321" i="1"/>
  <c r="N321" i="1" s="1"/>
  <c r="M387" i="1"/>
  <c r="N387" i="1" s="1"/>
  <c r="M20" i="1"/>
  <c r="N20" i="1" s="1"/>
  <c r="M307" i="1"/>
  <c r="N307" i="1" s="1"/>
  <c r="M440" i="1"/>
  <c r="N440" i="1" s="1"/>
  <c r="M480" i="1"/>
  <c r="N480" i="1" s="1"/>
  <c r="M506" i="1"/>
  <c r="N506" i="1" s="1"/>
  <c r="M709" i="1"/>
  <c r="N709" i="1" s="1"/>
  <c r="M529" i="1"/>
  <c r="N529" i="1" s="1"/>
  <c r="M449" i="1"/>
  <c r="N449" i="1" s="1"/>
  <c r="M229" i="1"/>
  <c r="N229" i="1" s="1"/>
  <c r="M49" i="1"/>
  <c r="N49" i="1" s="1"/>
  <c r="M686" i="1"/>
  <c r="N686" i="1" s="1"/>
  <c r="M644" i="1"/>
  <c r="N644" i="1" s="1"/>
  <c r="M359" i="1"/>
  <c r="N359" i="1" s="1"/>
  <c r="M7" i="1"/>
  <c r="N7" i="1" s="1"/>
  <c r="M388" i="1"/>
  <c r="N388" i="1" s="1"/>
  <c r="M186" i="1"/>
  <c r="N186" i="1" s="1"/>
  <c r="M21" i="1"/>
  <c r="N21" i="1" s="1"/>
  <c r="M386" i="1"/>
  <c r="N386" i="1" s="1"/>
  <c r="M206" i="1"/>
  <c r="N206" i="1" s="1"/>
  <c r="M86" i="1"/>
  <c r="N86" i="1" s="1"/>
  <c r="M257" i="1"/>
  <c r="N257" i="1" s="1"/>
  <c r="M586" i="1"/>
  <c r="N586" i="1" s="1"/>
  <c r="M798" i="1"/>
  <c r="N798" i="1" s="1"/>
  <c r="M618" i="1"/>
  <c r="N618" i="1" s="1"/>
  <c r="M584" i="1"/>
  <c r="N584" i="1" s="1"/>
  <c r="M417" i="1"/>
  <c r="N417" i="1" s="1"/>
  <c r="M368" i="1"/>
  <c r="N368" i="1" s="1"/>
  <c r="M707" i="1"/>
  <c r="N707" i="1" s="1"/>
  <c r="M527" i="1"/>
  <c r="N527" i="1" s="1"/>
  <c r="M242" i="1"/>
  <c r="N242" i="1" s="1"/>
  <c r="M736" i="1"/>
  <c r="N736" i="1" s="1"/>
  <c r="M596" i="1"/>
  <c r="N596" i="1" s="1"/>
  <c r="M536" i="1"/>
  <c r="N536" i="1" s="1"/>
  <c r="M376" i="1"/>
  <c r="N376" i="1" s="1"/>
  <c r="M176" i="1"/>
  <c r="N176" i="1" s="1"/>
  <c r="M382" i="1"/>
  <c r="N382" i="1" s="1"/>
  <c r="M367" i="1"/>
  <c r="N367" i="1" s="1"/>
  <c r="M455" i="1"/>
  <c r="N455" i="1" s="1"/>
  <c r="M106" i="1"/>
  <c r="N106" i="1" s="1"/>
  <c r="M392" i="1"/>
  <c r="N392" i="1" s="1"/>
  <c r="M272" i="1"/>
  <c r="N272" i="1" s="1"/>
  <c r="M244" i="1"/>
  <c r="N244" i="1" s="1"/>
  <c r="M571" i="1"/>
  <c r="N571" i="1" s="1"/>
  <c r="M706" i="1"/>
  <c r="N706" i="1" s="1"/>
  <c r="M467" i="1"/>
  <c r="N467" i="1" s="1"/>
  <c r="M308" i="1"/>
  <c r="N308" i="1" s="1"/>
  <c r="M207" i="1"/>
  <c r="N207" i="1" s="1"/>
  <c r="M282" i="1"/>
  <c r="N282" i="1" s="1"/>
  <c r="M6" i="1"/>
  <c r="N6" i="1" s="1"/>
  <c r="M576" i="1"/>
  <c r="N576" i="1" s="1"/>
  <c r="M156" i="1"/>
  <c r="N156" i="1" s="1"/>
  <c r="M36" i="1"/>
  <c r="N36" i="1" s="1"/>
  <c r="M508" i="1"/>
  <c r="N508" i="1" s="1"/>
  <c r="M787" i="1"/>
  <c r="N787" i="1" s="1"/>
  <c r="M75" i="1"/>
  <c r="N75" i="1" s="1"/>
  <c r="M126" i="1"/>
  <c r="N126" i="1" s="1"/>
  <c r="M93" i="1"/>
  <c r="N93" i="1" s="1"/>
  <c r="M344" i="1"/>
  <c r="N344" i="1" s="1"/>
  <c r="M784" i="1"/>
  <c r="N784" i="1" s="1"/>
  <c r="M768" i="1"/>
  <c r="N768" i="1" s="1"/>
  <c r="M358" i="1"/>
  <c r="N358" i="1" s="1"/>
  <c r="M216" i="1"/>
  <c r="N216" i="1" s="1"/>
  <c r="M94" i="1"/>
  <c r="N94" i="1" s="1"/>
  <c r="M651" i="1"/>
  <c r="N651" i="1" s="1"/>
  <c r="M626" i="1"/>
  <c r="N626" i="1" s="1"/>
  <c r="M738" i="1"/>
  <c r="N738" i="1" s="1"/>
  <c r="M730" i="1"/>
  <c r="N730" i="1" s="1"/>
  <c r="M370" i="1"/>
  <c r="N370" i="1" s="1"/>
  <c r="M98" i="1"/>
  <c r="N98" i="1" s="1"/>
  <c r="M578" i="1"/>
  <c r="N578" i="1" s="1"/>
  <c r="M237" i="1"/>
  <c r="N237" i="1" s="1"/>
  <c r="M137" i="1"/>
  <c r="N137" i="1" s="1"/>
  <c r="M717" i="1"/>
  <c r="N717" i="1" s="1"/>
  <c r="M318" i="1"/>
  <c r="N318" i="1" s="1"/>
  <c r="M373" i="1"/>
  <c r="N373" i="1" s="1"/>
  <c r="M265" i="1"/>
  <c r="N265" i="1" s="1"/>
  <c r="M537" i="1"/>
  <c r="N537" i="1" s="1"/>
  <c r="M77" i="1"/>
  <c r="N77" i="1" s="1"/>
  <c r="M517" i="1"/>
  <c r="N517" i="1" s="1"/>
  <c r="M668" i="1"/>
  <c r="N668" i="1" s="1"/>
  <c r="M167" i="1"/>
  <c r="N167" i="1" s="1"/>
  <c r="M247" i="1"/>
  <c r="N247" i="1" s="1"/>
  <c r="M228" i="1"/>
  <c r="N228" i="1" s="1"/>
  <c r="M107" i="1"/>
  <c r="N107" i="1" s="1"/>
  <c r="M468" i="1"/>
  <c r="N468" i="1" s="1"/>
  <c r="M728" i="1"/>
  <c r="N728" i="1" s="1"/>
  <c r="M148" i="1"/>
  <c r="N148" i="1" s="1"/>
  <c r="M407" i="1"/>
  <c r="N407" i="1" s="1"/>
  <c r="M727" i="1"/>
  <c r="N727" i="1" s="1"/>
  <c r="M704" i="1"/>
  <c r="N704" i="1" s="1"/>
  <c r="M408" i="1"/>
  <c r="N408" i="1" s="1"/>
  <c r="M337" i="1"/>
  <c r="N337" i="1" s="1"/>
  <c r="M218" i="1"/>
  <c r="N218" i="1" s="1"/>
  <c r="M398" i="1"/>
  <c r="N398" i="1" s="1"/>
  <c r="M238" i="1"/>
  <c r="N238" i="1" s="1"/>
  <c r="M757" i="1"/>
  <c r="N757" i="1" s="1"/>
  <c r="M737" i="1"/>
  <c r="N737" i="1" s="1"/>
  <c r="M457" i="1"/>
  <c r="N457" i="1" s="1"/>
  <c r="M747" i="1"/>
  <c r="N747" i="1" s="1"/>
  <c r="M277" i="1"/>
  <c r="N277" i="1" s="1"/>
  <c r="M478" i="1"/>
  <c r="N478" i="1" s="1"/>
  <c r="M781" i="1"/>
  <c r="N781" i="1" s="1"/>
  <c r="M761" i="1"/>
  <c r="N761" i="1" s="1"/>
  <c r="M81" i="1"/>
  <c r="N81" i="1" s="1"/>
  <c r="M664" i="1"/>
  <c r="N664" i="1" s="1"/>
  <c r="M118" i="1"/>
  <c r="N118" i="1" s="1"/>
  <c r="M731" i="1"/>
  <c r="N731" i="1" s="1"/>
  <c r="M711" i="1"/>
  <c r="N711" i="1" s="1"/>
  <c r="M184" i="1"/>
  <c r="N184" i="1" s="1"/>
  <c r="M57" i="1"/>
  <c r="N57" i="1" s="1"/>
  <c r="M78" i="1"/>
  <c r="N78" i="1" s="1"/>
  <c r="M128" i="1"/>
  <c r="N128" i="1" s="1"/>
  <c r="M260" i="1"/>
  <c r="N260" i="1" s="1"/>
  <c r="M638" i="1"/>
  <c r="N638" i="1" s="1"/>
  <c r="M127" i="1"/>
  <c r="N127" i="1" s="1"/>
  <c r="M204" i="1"/>
  <c r="N204" i="1" s="1"/>
  <c r="M438" i="1"/>
  <c r="N438" i="1" s="1"/>
  <c r="M104" i="1"/>
  <c r="N104" i="1" s="1"/>
  <c r="M138" i="1"/>
  <c r="N138" i="1" s="1"/>
  <c r="M427" i="1"/>
  <c r="N427" i="1" s="1"/>
  <c r="M627" i="1"/>
  <c r="N627" i="1" s="1"/>
  <c r="M219" i="1"/>
  <c r="N219" i="1" s="1"/>
  <c r="M752" i="1"/>
  <c r="N752" i="1" s="1"/>
  <c r="M305" i="1"/>
  <c r="N305" i="1" s="1"/>
  <c r="M232" i="1"/>
  <c r="N232" i="1" s="1"/>
  <c r="M703" i="1"/>
  <c r="N703" i="1" s="1"/>
  <c r="M145" i="1"/>
  <c r="N145" i="1" s="1"/>
  <c r="M565" i="1"/>
  <c r="N565" i="1" s="1"/>
  <c r="M72" i="1"/>
  <c r="N72" i="1" s="1"/>
  <c r="M452" i="1"/>
  <c r="N452" i="1" s="1"/>
  <c r="M685" i="1"/>
  <c r="N685" i="1" s="1"/>
  <c r="M665" i="1"/>
  <c r="N665" i="1" s="1"/>
  <c r="M612" i="1"/>
  <c r="N612" i="1" s="1"/>
  <c r="M785" i="1"/>
  <c r="N785" i="1" s="1"/>
  <c r="M45" i="1"/>
  <c r="N45" i="1" s="1"/>
  <c r="M155" i="1"/>
  <c r="N155" i="1" s="1"/>
  <c r="M505" i="1"/>
  <c r="N505" i="1" s="1"/>
  <c r="M585" i="1"/>
  <c r="N585" i="1" s="1"/>
  <c r="M65" i="1"/>
  <c r="N65" i="1" s="1"/>
  <c r="M572" i="1"/>
  <c r="N572" i="1" s="1"/>
  <c r="M312" i="1"/>
  <c r="N312" i="1" s="1"/>
  <c r="M792" i="1"/>
  <c r="N792" i="1" s="1"/>
  <c r="M143" i="1"/>
  <c r="N143" i="1" s="1"/>
  <c r="M393" i="1"/>
  <c r="N393" i="1" s="1"/>
  <c r="M463" i="1"/>
  <c r="N463" i="1" s="1"/>
  <c r="M43" i="1"/>
  <c r="N43" i="1" s="1"/>
  <c r="M92" i="1"/>
  <c r="N92" i="1" s="1"/>
  <c r="M563" i="1"/>
  <c r="N563" i="1" s="1"/>
  <c r="M652" i="1"/>
  <c r="N652" i="1" s="1"/>
  <c r="M443" i="1"/>
  <c r="N443" i="1" s="1"/>
  <c r="M769" i="1"/>
  <c r="N769" i="1" s="1"/>
  <c r="M509" i="1"/>
  <c r="N509" i="1" s="1"/>
  <c r="M409" i="1"/>
  <c r="N409" i="1" s="1"/>
  <c r="M333" i="1"/>
  <c r="N333" i="1" s="1"/>
  <c r="M85" i="1"/>
  <c r="N85" i="1" s="1"/>
  <c r="M448" i="1"/>
  <c r="N448" i="1" s="1"/>
  <c r="M48" i="1"/>
  <c r="N48" i="1" s="1"/>
  <c r="M87" i="1"/>
  <c r="N87" i="1" s="1"/>
  <c r="M332" i="1"/>
  <c r="N332" i="1" s="1"/>
  <c r="M245" i="1"/>
  <c r="N245" i="1" s="1"/>
  <c r="M425" i="1"/>
  <c r="N425" i="1" s="1"/>
  <c r="M421" i="1"/>
  <c r="N421" i="1" s="1"/>
  <c r="M394" i="1"/>
  <c r="N394" i="1" s="1"/>
  <c r="M273" i="1"/>
  <c r="N273" i="1" s="1"/>
  <c r="M740" i="1"/>
  <c r="N740" i="1" s="1"/>
  <c r="M640" i="1"/>
  <c r="N640" i="1" s="1"/>
  <c r="M620" i="1"/>
  <c r="N620" i="1" s="1"/>
  <c r="M168" i="1"/>
  <c r="N168" i="1" s="1"/>
  <c r="M608" i="1"/>
  <c r="N608" i="1" s="1"/>
  <c r="M180" i="1"/>
  <c r="N180" i="1" s="1"/>
  <c r="M200" i="1"/>
  <c r="N200" i="1" s="1"/>
  <c r="M68" i="1"/>
  <c r="N68" i="1" s="1"/>
  <c r="M513" i="1"/>
  <c r="N513" i="1" s="1"/>
  <c r="M628" i="1"/>
  <c r="N628" i="1" s="1"/>
  <c r="M28" i="1"/>
  <c r="N28" i="1" s="1"/>
  <c r="M678" i="1"/>
  <c r="N678" i="1" s="1"/>
  <c r="M538" i="1"/>
  <c r="N538" i="1" s="1"/>
  <c r="M198" i="1"/>
  <c r="N198" i="1" s="1"/>
  <c r="M178" i="1"/>
  <c r="N178" i="1" s="1"/>
  <c r="M548" i="1"/>
  <c r="N548" i="1" s="1"/>
  <c r="M181" i="1"/>
  <c r="N181" i="1" s="1"/>
  <c r="M172" i="1"/>
  <c r="N172" i="1" s="1"/>
  <c r="M488" i="1"/>
  <c r="N488" i="1" s="1"/>
  <c r="M88" i="1"/>
  <c r="N88" i="1" s="1"/>
  <c r="M173" i="1"/>
  <c r="N173" i="1" s="1"/>
  <c r="M26" i="1"/>
  <c r="N26" i="1" s="1"/>
  <c r="M472" i="1"/>
  <c r="N472" i="1" s="1"/>
  <c r="M248" i="1"/>
  <c r="N248" i="1" s="1"/>
  <c r="M528" i="1"/>
  <c r="N528" i="1" s="1"/>
  <c r="M108" i="1"/>
  <c r="N108" i="1" s="1"/>
  <c r="M385" i="1"/>
  <c r="N385" i="1" s="1"/>
  <c r="M347" i="1"/>
  <c r="N347" i="1" s="1"/>
  <c r="M351" i="1"/>
  <c r="N351" i="1" s="1"/>
  <c r="M327" i="1"/>
  <c r="N327" i="1" s="1"/>
  <c r="M399" i="1"/>
  <c r="N399" i="1" s="1"/>
  <c r="M60" i="1"/>
  <c r="N60" i="1" s="1"/>
  <c r="M487" i="1"/>
  <c r="N487" i="1" s="1"/>
  <c r="M89" i="1"/>
  <c r="N89" i="1" s="1"/>
  <c r="M748" i="1"/>
  <c r="N748" i="1" s="1"/>
  <c r="M646" i="1"/>
  <c r="N646" i="1" s="1"/>
  <c r="M205" i="1"/>
  <c r="N205" i="1" s="1"/>
  <c r="M428" i="1"/>
  <c r="N428" i="1" s="1"/>
  <c r="M623" i="1"/>
  <c r="N623" i="1" s="1"/>
  <c r="M100" i="1"/>
  <c r="N100" i="1" s="1"/>
  <c r="M188" i="1"/>
  <c r="N188" i="1" s="1"/>
  <c r="M743" i="1"/>
  <c r="N743" i="1" s="1"/>
  <c r="M648" i="1"/>
  <c r="N648" i="1" s="1"/>
  <c r="M499" i="1"/>
  <c r="N499" i="1" s="1"/>
  <c r="M588" i="1"/>
  <c r="N588" i="1" s="1"/>
  <c r="M590" i="1"/>
  <c r="N590" i="1" s="1"/>
  <c r="M430" i="1"/>
  <c r="N430" i="1" s="1"/>
  <c r="M190" i="1"/>
  <c r="N190" i="1" s="1"/>
  <c r="M70" i="1"/>
  <c r="N70" i="1" s="1"/>
  <c r="M50" i="1"/>
  <c r="N50" i="1" s="1"/>
  <c r="M713" i="1"/>
  <c r="N713" i="1" s="1"/>
  <c r="M287" i="1"/>
  <c r="N287" i="1" s="1"/>
  <c r="M667" i="1"/>
  <c r="N667" i="1" s="1"/>
  <c r="M313" i="1"/>
  <c r="N313" i="1" s="1"/>
  <c r="M507" i="1"/>
  <c r="N507" i="1" s="1"/>
  <c r="M67" i="1"/>
  <c r="N67" i="1" s="1"/>
  <c r="M246" i="1"/>
  <c r="N246" i="1" s="1"/>
  <c r="M693" i="1"/>
  <c r="N693" i="1" s="1"/>
  <c r="M286" i="1"/>
  <c r="N286" i="1" s="1"/>
  <c r="M684" i="1"/>
  <c r="N684" i="1" s="1"/>
  <c r="M384" i="1"/>
  <c r="N384" i="1" s="1"/>
  <c r="M324" i="1"/>
  <c r="N324" i="1" s="1"/>
  <c r="M304" i="1"/>
  <c r="N304" i="1" s="1"/>
  <c r="M224" i="1"/>
  <c r="N224" i="1" s="1"/>
  <c r="M547" i="1"/>
  <c r="N547" i="1" s="1"/>
  <c r="M187" i="1"/>
  <c r="N187" i="1" s="1"/>
  <c r="M732" i="1"/>
  <c r="N732" i="1" s="1"/>
  <c r="M147" i="1"/>
  <c r="N147" i="1" s="1"/>
  <c r="M326" i="1"/>
  <c r="N326" i="1" s="1"/>
  <c r="M27" i="1"/>
  <c r="N27" i="1" s="1"/>
  <c r="M328" i="1"/>
  <c r="N328" i="1" s="1"/>
  <c r="M677" i="1"/>
  <c r="N677" i="1" s="1"/>
  <c r="M657" i="1"/>
  <c r="N657" i="1" s="1"/>
  <c r="M617" i="1"/>
  <c r="N617" i="1" s="1"/>
  <c r="M397" i="1"/>
  <c r="N397" i="1" s="1"/>
  <c r="M377" i="1"/>
  <c r="N377" i="1" s="1"/>
  <c r="M37" i="1"/>
  <c r="N37" i="1" s="1"/>
  <c r="M269" i="1"/>
  <c r="N269" i="1" s="1"/>
  <c r="M149" i="1"/>
  <c r="N149" i="1" s="1"/>
  <c r="M510" i="1"/>
  <c r="N510" i="1" s="1"/>
  <c r="M531" i="1"/>
  <c r="N531" i="1" s="1"/>
  <c r="M59" i="1"/>
  <c r="N59" i="1" s="1"/>
  <c r="M349" i="1"/>
  <c r="N349" i="1" s="1"/>
  <c r="M199" i="1"/>
  <c r="N199" i="1" s="1"/>
  <c r="M437" i="1"/>
  <c r="N437" i="1" s="1"/>
  <c r="M378" i="1"/>
  <c r="N378" i="1" s="1"/>
  <c r="M710" i="1"/>
  <c r="N710" i="1" s="1"/>
  <c r="M484" i="1"/>
  <c r="N484" i="1" s="1"/>
  <c r="M441" i="1"/>
  <c r="N441" i="1" s="1"/>
  <c r="M380" i="1"/>
  <c r="N380" i="1" s="1"/>
  <c r="M580" i="1"/>
  <c r="N580" i="1" s="1"/>
  <c r="M270" i="1"/>
  <c r="N270" i="1" s="1"/>
  <c r="M459" i="1"/>
  <c r="N459" i="1" s="1"/>
  <c r="M400" i="1"/>
  <c r="N400" i="1" s="1"/>
  <c r="M759" i="1"/>
  <c r="N759" i="1" s="1"/>
  <c r="M658" i="1"/>
  <c r="N658" i="1" s="1"/>
  <c r="M310" i="1"/>
  <c r="N310" i="1" s="1"/>
  <c r="M11" i="1"/>
  <c r="N11" i="1" s="1"/>
  <c r="M641" i="1"/>
  <c r="N641" i="1" s="1"/>
  <c r="M80" i="1"/>
  <c r="N80" i="1" s="1"/>
  <c r="M58" i="1"/>
  <c r="N58" i="1" s="1"/>
  <c r="M770" i="1"/>
  <c r="N770" i="1" s="1"/>
  <c r="M331" i="1"/>
  <c r="N331" i="1" s="1"/>
  <c r="M231" i="1"/>
  <c r="N231" i="1" s="1"/>
  <c r="M679" i="1"/>
  <c r="N679" i="1" s="1"/>
  <c r="M431" i="1"/>
  <c r="N431" i="1" s="1"/>
  <c r="M177" i="1"/>
  <c r="N177" i="1" s="1"/>
  <c r="M410" i="1"/>
  <c r="N410" i="1" s="1"/>
  <c r="M489" i="1"/>
  <c r="N489" i="1" s="1"/>
  <c r="M764" i="1"/>
  <c r="N764" i="1" s="1"/>
  <c r="M698" i="1"/>
  <c r="N698" i="1" s="1"/>
  <c r="M158" i="1"/>
  <c r="N158" i="1" s="1"/>
  <c r="M369" i="1"/>
  <c r="N369" i="1" s="1"/>
  <c r="M681" i="1"/>
  <c r="N681" i="1" s="1"/>
  <c r="M151" i="1"/>
  <c r="N151" i="1" s="1"/>
  <c r="M109" i="1"/>
  <c r="N109" i="1" s="1"/>
  <c r="M121" i="1"/>
  <c r="N121" i="1" s="1"/>
  <c r="M700" i="1"/>
  <c r="N700" i="1" s="1"/>
  <c r="M796" i="1"/>
  <c r="N796" i="1" s="1"/>
  <c r="M696" i="1"/>
  <c r="N696" i="1" s="1"/>
  <c r="M616" i="1"/>
  <c r="N616" i="1" s="1"/>
  <c r="M556" i="1"/>
  <c r="N556" i="1" s="1"/>
  <c r="M416" i="1"/>
  <c r="N416" i="1" s="1"/>
  <c r="M396" i="1"/>
  <c r="N396" i="1" s="1"/>
  <c r="M296" i="1"/>
  <c r="N296" i="1" s="1"/>
  <c r="M116" i="1"/>
  <c r="N116" i="1" s="1"/>
  <c r="M56" i="1"/>
  <c r="N56" i="1" s="1"/>
  <c r="M160" i="1"/>
  <c r="N160" i="1" s="1"/>
  <c r="M589" i="1"/>
  <c r="N589" i="1" s="1"/>
  <c r="M170" i="1"/>
  <c r="N170" i="1" s="1"/>
  <c r="M103" i="1"/>
  <c r="N103" i="1" s="1"/>
  <c r="M550" i="1"/>
  <c r="N550" i="1" s="1"/>
  <c r="M511" i="1"/>
  <c r="N511" i="1" s="1"/>
  <c r="M220" i="1"/>
  <c r="N220" i="1" s="1"/>
  <c r="M131" i="1"/>
  <c r="N131" i="1" s="1"/>
  <c r="M451" i="1"/>
  <c r="N451" i="1" s="1"/>
  <c r="M420" i="1"/>
  <c r="N420" i="1" s="1"/>
  <c r="M523" i="1"/>
  <c r="N523" i="1" s="1"/>
  <c r="M63" i="1"/>
  <c r="N63" i="1" s="1"/>
  <c r="M124" i="1"/>
  <c r="N124" i="1" s="1"/>
  <c r="M450" i="1"/>
  <c r="N450" i="1" s="1"/>
  <c r="M30" i="1"/>
  <c r="N30" i="1" s="1"/>
  <c r="M699" i="1"/>
  <c r="N699" i="1" s="1"/>
  <c r="M23" i="1"/>
  <c r="N23" i="1" s="1"/>
  <c r="M271" i="1"/>
  <c r="N271" i="1" s="1"/>
  <c r="M111" i="1"/>
  <c r="N111" i="1" s="1"/>
  <c r="M795" i="1"/>
  <c r="N795" i="1" s="1"/>
  <c r="M755" i="1"/>
  <c r="N755" i="1" s="1"/>
  <c r="M735" i="1"/>
  <c r="N735" i="1" s="1"/>
  <c r="M715" i="1"/>
  <c r="N715" i="1" s="1"/>
  <c r="M695" i="1"/>
  <c r="N695" i="1" s="1"/>
  <c r="M615" i="1"/>
  <c r="N615" i="1" s="1"/>
  <c r="M595" i="1"/>
  <c r="N595" i="1" s="1"/>
  <c r="M535" i="1"/>
  <c r="N535" i="1" s="1"/>
  <c r="M515" i="1"/>
  <c r="N515" i="1" s="1"/>
  <c r="M495" i="1"/>
  <c r="N495" i="1" s="1"/>
  <c r="M475" i="1"/>
  <c r="N475" i="1" s="1"/>
  <c r="M435" i="1"/>
  <c r="N435" i="1" s="1"/>
  <c r="M355" i="1"/>
  <c r="N355" i="1" s="1"/>
  <c r="M335" i="1"/>
  <c r="N335" i="1" s="1"/>
  <c r="M295" i="1"/>
  <c r="N295" i="1" s="1"/>
  <c r="M275" i="1"/>
  <c r="N275" i="1" s="1"/>
  <c r="M215" i="1"/>
  <c r="N215" i="1" s="1"/>
  <c r="M195" i="1"/>
  <c r="N195" i="1" s="1"/>
  <c r="M175" i="1"/>
  <c r="N175" i="1" s="1"/>
  <c r="M135" i="1"/>
  <c r="N135" i="1" s="1"/>
  <c r="M115" i="1"/>
  <c r="N115" i="1" s="1"/>
  <c r="M35" i="1"/>
  <c r="N35" i="1" s="1"/>
  <c r="M418" i="1"/>
  <c r="N418" i="1" s="1"/>
  <c r="M557" i="1"/>
  <c r="N557" i="1" s="1"/>
  <c r="M322" i="1"/>
  <c r="N322" i="1" s="1"/>
  <c r="M621" i="1"/>
  <c r="N621" i="1" s="1"/>
  <c r="M348" i="1"/>
  <c r="N348" i="1" s="1"/>
  <c r="M201" i="1"/>
  <c r="N201" i="1" s="1"/>
  <c r="M360" i="1"/>
  <c r="N360" i="1" s="1"/>
  <c r="M643" i="1"/>
  <c r="N643" i="1" s="1"/>
  <c r="M51" i="1"/>
  <c r="N51" i="1" s="1"/>
  <c r="M622" i="1"/>
  <c r="N622" i="1" s="1"/>
  <c r="M281" i="1"/>
  <c r="N281" i="1" s="1"/>
  <c r="M223" i="1"/>
  <c r="N223" i="1" s="1"/>
  <c r="M461" i="1"/>
  <c r="N461" i="1" s="1"/>
  <c r="M721" i="1"/>
  <c r="N721" i="1" s="1"/>
  <c r="M503" i="1"/>
  <c r="N503" i="1" s="1"/>
  <c r="M647" i="1"/>
  <c r="N647" i="1" s="1"/>
  <c r="M340" i="1"/>
  <c r="N340" i="1" s="1"/>
  <c r="M299" i="1"/>
  <c r="N299" i="1" s="1"/>
  <c r="M47" i="1"/>
  <c r="N47" i="1" s="1"/>
  <c r="M543" i="1"/>
  <c r="N543" i="1" s="1"/>
  <c r="M458" i="1"/>
  <c r="N458" i="1" s="1"/>
  <c r="M10" i="1"/>
  <c r="N10" i="1" s="1"/>
  <c r="M267" i="1"/>
  <c r="N267" i="1" s="1"/>
  <c r="M8" i="1"/>
  <c r="N8" i="1" s="1"/>
  <c r="M514" i="1"/>
  <c r="N514" i="1" s="1"/>
  <c r="M294" i="1"/>
  <c r="N294" i="1" s="1"/>
  <c r="M14" i="1"/>
  <c r="N14" i="1" s="1"/>
  <c r="M66" i="1"/>
  <c r="N66" i="1" s="1"/>
  <c r="M587" i="1"/>
  <c r="N587" i="1" s="1"/>
  <c r="M288" i="1"/>
  <c r="N288" i="1" s="1"/>
  <c r="M607" i="1"/>
  <c r="N607" i="1" s="1"/>
  <c r="M446" i="1"/>
  <c r="N446" i="1" s="1"/>
  <c r="M406" i="1"/>
  <c r="N406" i="1" s="1"/>
  <c r="M773" i="1"/>
  <c r="N773" i="1" s="1"/>
  <c r="M73" i="1"/>
  <c r="N73" i="1" s="1"/>
  <c r="M53" i="1"/>
  <c r="N53" i="1" s="1"/>
  <c r="M268" i="1"/>
  <c r="N268" i="1" s="1"/>
  <c r="M208" i="1"/>
  <c r="N208" i="1" s="1"/>
  <c r="M567" i="1"/>
  <c r="N567" i="1" s="1"/>
  <c r="M788" i="1"/>
  <c r="N788" i="1" s="1"/>
  <c r="M708" i="1"/>
  <c r="N708" i="1" s="1"/>
  <c r="M532" i="1"/>
  <c r="N532" i="1" s="1"/>
  <c r="M352" i="1"/>
  <c r="N352" i="1" s="1"/>
  <c r="M292" i="1"/>
  <c r="N292" i="1" s="1"/>
  <c r="M192" i="1"/>
  <c r="N192" i="1" s="1"/>
  <c r="M758" i="1"/>
  <c r="N758" i="1" s="1"/>
  <c r="M291" i="1"/>
  <c r="N291" i="1" s="1"/>
  <c r="M61" i="1"/>
  <c r="N61" i="1" s="1"/>
  <c r="M120" i="1"/>
  <c r="N120" i="1" s="1"/>
  <c r="M429" i="1"/>
  <c r="N429" i="1" s="1"/>
  <c r="M3" i="1"/>
  <c r="N3" i="1" s="1"/>
  <c r="M739" i="1"/>
  <c r="N739" i="1" s="1"/>
  <c r="M561" i="1"/>
  <c r="N561" i="1" s="1"/>
  <c r="M687" i="1"/>
  <c r="N687" i="1" s="1"/>
  <c r="M639" i="1"/>
  <c r="N639" i="1" s="1"/>
  <c r="M217" i="1"/>
  <c r="N217" i="1" s="1"/>
  <c r="M544" i="1"/>
  <c r="N544" i="1" s="1"/>
  <c r="M306" i="1"/>
  <c r="N306" i="1" s="1"/>
  <c r="M637" i="1"/>
  <c r="N637" i="1" s="1"/>
  <c r="M24" i="1"/>
  <c r="N24" i="1" s="1"/>
  <c r="M551" i="1"/>
  <c r="N551" i="1" s="1"/>
  <c r="M597" i="1"/>
  <c r="N597" i="1" s="1"/>
  <c r="M799" i="1"/>
  <c r="N799" i="1" s="1"/>
  <c r="M568" i="1"/>
  <c r="N568" i="1" s="1"/>
  <c r="M778" i="1"/>
  <c r="N778" i="1" s="1"/>
  <c r="M221" i="1"/>
  <c r="N221" i="1" s="1"/>
  <c r="M601" i="1"/>
  <c r="N601" i="1" s="1"/>
  <c r="M317" i="1"/>
  <c r="N317" i="1" s="1"/>
  <c r="M371" i="1"/>
  <c r="N371" i="1" s="1"/>
  <c r="M780" i="1"/>
  <c r="N780" i="1" s="1"/>
  <c r="M140" i="1"/>
  <c r="N140" i="1" s="1"/>
  <c r="M564" i="1"/>
  <c r="N564" i="1" s="1"/>
  <c r="M447" i="1"/>
  <c r="N447" i="1" s="1"/>
  <c r="M624" i="1"/>
  <c r="N624" i="1" s="1"/>
  <c r="M718" i="1"/>
  <c r="N718" i="1" s="1"/>
  <c r="M300" i="1"/>
  <c r="N300" i="1" s="1"/>
  <c r="M725" i="1"/>
  <c r="N725" i="1" s="1"/>
  <c r="M705" i="1"/>
  <c r="N705" i="1" s="1"/>
  <c r="M125" i="1"/>
  <c r="N125" i="1" s="1"/>
  <c r="M25" i="1"/>
  <c r="N25" i="1" s="1"/>
  <c r="M436" i="1"/>
  <c r="N436" i="1" s="1"/>
  <c r="M236" i="1"/>
  <c r="N236" i="1" s="1"/>
  <c r="M315" i="1"/>
  <c r="N315" i="1" s="1"/>
  <c r="M530" i="1"/>
  <c r="N530" i="1" s="1"/>
  <c r="M350" i="1"/>
  <c r="N350" i="1" s="1"/>
  <c r="M263" i="1"/>
  <c r="N263" i="1" s="1"/>
  <c r="M689" i="1"/>
  <c r="N689" i="1" s="1"/>
  <c r="M663" i="1"/>
  <c r="N663" i="1" s="1"/>
  <c r="M482" i="1"/>
  <c r="N482" i="1" s="1"/>
  <c r="M142" i="1"/>
  <c r="N142" i="1" s="1"/>
  <c r="M636" i="1"/>
  <c r="N636" i="1" s="1"/>
  <c r="M485" i="1"/>
  <c r="N485" i="1" s="1"/>
  <c r="M325" i="1"/>
  <c r="N325" i="1" s="1"/>
  <c r="M285" i="1"/>
  <c r="N285" i="1" s="1"/>
  <c r="M161" i="1"/>
  <c r="N161" i="1" s="1"/>
  <c r="M539" i="1"/>
  <c r="N539" i="1" s="1"/>
  <c r="M309" i="1"/>
  <c r="N309" i="1" s="1"/>
  <c r="M579" i="1"/>
  <c r="N579" i="1" s="1"/>
  <c r="M196" i="1"/>
  <c r="N196" i="1" s="1"/>
  <c r="M262" i="1"/>
  <c r="N262" i="1" s="1"/>
  <c r="M339" i="1"/>
  <c r="N339" i="1" s="1"/>
  <c r="M516" i="1"/>
  <c r="N516" i="1" s="1"/>
  <c r="M381" i="1"/>
  <c r="N381" i="1" s="1"/>
  <c r="M605" i="1"/>
  <c r="N605" i="1" s="1"/>
  <c r="M239" i="1"/>
  <c r="N239" i="1" s="1"/>
  <c r="M323" i="1"/>
  <c r="N323" i="1" s="1"/>
  <c r="M602" i="1"/>
  <c r="N602" i="1" s="1"/>
  <c r="M483" i="1"/>
  <c r="N483" i="1" s="1"/>
  <c r="M724" i="1"/>
  <c r="N724" i="1" s="1"/>
  <c r="M464" i="1"/>
  <c r="N464" i="1" s="1"/>
  <c r="M404" i="1"/>
  <c r="N404" i="1" s="1"/>
  <c r="M364" i="1"/>
  <c r="N364" i="1" s="1"/>
  <c r="M164" i="1"/>
  <c r="N164" i="1" s="1"/>
  <c r="M96" i="1"/>
  <c r="N96" i="1" s="1"/>
  <c r="M756" i="1"/>
  <c r="N756" i="1" s="1"/>
  <c r="M570" i="1"/>
  <c r="N570" i="1" s="1"/>
  <c r="M669" i="1"/>
  <c r="N669" i="1" s="1"/>
  <c r="M629" i="1"/>
  <c r="N629" i="1" s="1"/>
  <c r="M289" i="1"/>
  <c r="N289" i="1" s="1"/>
  <c r="M610" i="1"/>
  <c r="N610" i="1" s="1"/>
  <c r="M130" i="1"/>
  <c r="N130" i="1" s="1"/>
  <c r="M481" i="1"/>
  <c r="N481" i="1" s="1"/>
  <c r="M402" i="1"/>
  <c r="N402" i="1" s="1"/>
  <c r="M209" i="1"/>
  <c r="N209" i="1" s="1"/>
  <c r="M800" i="1"/>
  <c r="N800" i="1" s="1"/>
  <c r="M682" i="1"/>
  <c r="N682" i="1" s="1"/>
  <c r="M630" i="1"/>
  <c r="N630" i="1" s="1"/>
  <c r="M403" i="1"/>
  <c r="N403" i="1" s="1"/>
  <c r="M722" i="1"/>
  <c r="N722" i="1" s="1"/>
  <c r="M625" i="1"/>
  <c r="N625" i="1" s="1"/>
  <c r="M583" i="1"/>
  <c r="N583" i="1" s="1"/>
  <c r="M609" i="1"/>
  <c r="N609" i="1" s="1"/>
  <c r="M102" i="1"/>
  <c r="N102" i="1" s="1"/>
  <c r="M401" i="1"/>
  <c r="N401" i="1" s="1"/>
  <c r="M560" i="1"/>
  <c r="N560" i="1" s="1"/>
  <c r="M169" i="1"/>
  <c r="N169" i="1" s="1"/>
  <c r="M9" i="1"/>
  <c r="N9" i="1" s="1"/>
  <c r="M95" i="1"/>
  <c r="N95" i="1" s="1"/>
  <c r="M498" i="1"/>
  <c r="N498" i="1" s="1"/>
  <c r="M298" i="1"/>
  <c r="N298" i="1" s="1"/>
  <c r="M38" i="1"/>
  <c r="N38" i="1" s="1"/>
  <c r="M569" i="1"/>
  <c r="N569" i="1" s="1"/>
  <c r="M542" i="1"/>
  <c r="N542" i="1" s="1"/>
  <c r="M122" i="1"/>
  <c r="N122" i="1" s="1"/>
  <c r="M250" i="1"/>
  <c r="N250" i="1" s="1"/>
  <c r="M2" i="1"/>
  <c r="N2" i="1" s="1"/>
  <c r="M390" i="1"/>
  <c r="N390" i="1" s="1"/>
  <c r="M801" i="1"/>
  <c r="N801" i="1" s="1"/>
  <c r="M90" i="1"/>
  <c r="N90" i="1" s="1"/>
  <c r="M105" i="1"/>
  <c r="N105" i="1" s="1"/>
  <c r="M329" i="1"/>
  <c r="N329" i="1" s="1"/>
  <c r="M203" i="1"/>
  <c r="N203" i="1" s="1"/>
  <c r="M650" i="1"/>
  <c r="N650" i="1" s="1"/>
  <c r="M442" i="1"/>
  <c r="N442" i="1" s="1"/>
  <c r="M662" i="1"/>
  <c r="N662" i="1" s="1"/>
  <c r="M582" i="1"/>
  <c r="N582" i="1" s="1"/>
  <c r="M40" i="1"/>
  <c r="N40" i="1" s="1"/>
  <c r="M680" i="1"/>
  <c r="N680" i="1" s="1"/>
  <c r="M69" i="1"/>
  <c r="N69" i="1" s="1"/>
  <c r="M763" i="1"/>
  <c r="N763" i="1" s="1"/>
  <c r="M42" i="1"/>
  <c r="N42" i="1" s="1"/>
  <c r="M330" i="1"/>
  <c r="N330" i="1" s="1"/>
  <c r="M243" i="1"/>
  <c r="N243" i="1" s="1"/>
  <c r="M599" i="1"/>
  <c r="N599" i="1" s="1"/>
  <c r="M479" i="1"/>
  <c r="N479" i="1" s="1"/>
  <c r="M302" i="1"/>
  <c r="N302" i="1" s="1"/>
  <c r="M750" i="1"/>
  <c r="N750" i="1" s="1"/>
  <c r="M760" i="1"/>
  <c r="N760" i="1" s="1"/>
  <c r="M189" i="1"/>
  <c r="N189" i="1" s="1"/>
  <c r="M361" i="1"/>
  <c r="N361" i="1" s="1"/>
  <c r="M389" i="1"/>
  <c r="N389" i="1" s="1"/>
  <c r="M749" i="1"/>
  <c r="N749" i="1" s="1"/>
  <c r="M729" i="1"/>
  <c r="N729" i="1" s="1"/>
  <c r="M598" i="1"/>
  <c r="N598" i="1" s="1"/>
  <c r="M649" i="1"/>
  <c r="N649" i="1" s="1"/>
  <c r="M342" i="1"/>
  <c r="N342" i="1" s="1"/>
  <c r="M139" i="1"/>
  <c r="N139" i="1" s="1"/>
  <c r="M477" i="1"/>
  <c r="N477" i="1" s="1"/>
  <c r="M297" i="1"/>
  <c r="N297" i="1" s="1"/>
  <c r="M157" i="1"/>
  <c r="N157" i="1" s="1"/>
  <c r="M789" i="1"/>
  <c r="N789" i="1" s="1"/>
  <c r="M794" i="1"/>
  <c r="N794" i="1" s="1"/>
  <c r="M734" i="1"/>
  <c r="N734" i="1" s="1"/>
  <c r="M674" i="1"/>
  <c r="N674" i="1" s="1"/>
  <c r="M554" i="1"/>
  <c r="N554" i="1" s="1"/>
  <c r="M534" i="1"/>
  <c r="N534" i="1" s="1"/>
  <c r="M474" i="1"/>
  <c r="N474" i="1" s="1"/>
  <c r="M414" i="1"/>
  <c r="N414" i="1" s="1"/>
  <c r="M374" i="1"/>
  <c r="N374" i="1" s="1"/>
  <c r="M314" i="1"/>
  <c r="N314" i="1" s="1"/>
  <c r="M274" i="1"/>
  <c r="N274" i="1" s="1"/>
  <c r="M254" i="1"/>
  <c r="N254" i="1" s="1"/>
  <c r="M214" i="1"/>
  <c r="N214" i="1" s="1"/>
  <c r="M174" i="1"/>
  <c r="N174" i="1" s="1"/>
  <c r="M154" i="1"/>
  <c r="N154" i="1" s="1"/>
  <c r="M134" i="1"/>
  <c r="N134" i="1" s="1"/>
  <c r="M114" i="1"/>
  <c r="N114" i="1" s="1"/>
  <c r="M34" i="1"/>
  <c r="N34" i="1" s="1"/>
  <c r="M614" i="1"/>
  <c r="N614" i="1" s="1"/>
  <c r="M575" i="1"/>
  <c r="N575" i="1" s="1"/>
  <c r="M99" i="1"/>
  <c r="N99" i="1" s="1"/>
  <c r="M470" i="1"/>
  <c r="N470" i="1" s="1"/>
  <c r="M790" i="1"/>
  <c r="N790" i="1" s="1"/>
  <c r="M775" i="1"/>
  <c r="N775" i="1" s="1"/>
  <c r="M319" i="1"/>
  <c r="N319" i="1" s="1"/>
  <c r="M444" i="1"/>
  <c r="N444" i="1" s="1"/>
  <c r="M500" i="1"/>
  <c r="N500" i="1" s="1"/>
  <c r="M162" i="1"/>
  <c r="N162" i="1" s="1"/>
  <c r="M379" i="1"/>
  <c r="N379" i="1" s="1"/>
  <c r="M776" i="1"/>
  <c r="N776" i="1" s="1"/>
  <c r="M745" i="1"/>
  <c r="N745" i="1" s="1"/>
  <c r="M345" i="1"/>
  <c r="N345" i="1" s="1"/>
  <c r="M797" i="1"/>
  <c r="N797" i="1" s="1"/>
  <c r="M334" i="1"/>
  <c r="N334" i="1" s="1"/>
  <c r="M521" i="1"/>
  <c r="N521" i="1" s="1"/>
  <c r="M774" i="1"/>
  <c r="N774" i="1" s="1"/>
  <c r="M697" i="1"/>
  <c r="N697" i="1" s="1"/>
  <c r="M577" i="1"/>
  <c r="N577" i="1" s="1"/>
  <c r="M540" i="1"/>
  <c r="N540" i="1" s="1"/>
  <c r="M661" i="1"/>
  <c r="N661" i="1" s="1"/>
  <c r="M791" i="1"/>
  <c r="N791" i="1" s="1"/>
  <c r="M751" i="1"/>
  <c r="N751" i="1" s="1"/>
  <c r="M671" i="1"/>
  <c r="N671" i="1" s="1"/>
  <c r="M491" i="1"/>
  <c r="N491" i="1" s="1"/>
  <c r="M471" i="1"/>
  <c r="N471" i="1" s="1"/>
  <c r="M251" i="1"/>
  <c r="N251" i="1" s="1"/>
  <c r="M191" i="1"/>
  <c r="N191" i="1" s="1"/>
  <c r="M171" i="1"/>
  <c r="N171" i="1" s="1"/>
  <c r="M71" i="1"/>
  <c r="N71" i="1" s="1"/>
  <c r="M4" i="1"/>
  <c r="N4" i="1" s="1"/>
  <c r="M279" i="1"/>
  <c r="N279" i="1" s="1"/>
  <c r="M185" i="1"/>
  <c r="N185" i="1" s="1"/>
  <c r="M230" i="1"/>
  <c r="N230" i="1" s="1"/>
  <c r="M159" i="1"/>
  <c r="N159" i="1" s="1"/>
  <c r="M782" i="1"/>
  <c r="N782" i="1" s="1"/>
  <c r="M375" i="1"/>
  <c r="N375" i="1" s="1"/>
  <c r="M504" i="1"/>
  <c r="N504" i="1" s="1"/>
  <c r="M179" i="1"/>
  <c r="N179" i="1" s="1"/>
  <c r="M210" i="1"/>
  <c r="N210" i="1" s="1"/>
  <c r="M354" i="1"/>
  <c r="N354" i="1" s="1"/>
  <c r="M603" i="1"/>
  <c r="N603" i="1" s="1"/>
  <c r="M405" i="1"/>
  <c r="N405" i="1" s="1"/>
  <c r="M645" i="1"/>
  <c r="N645" i="1" s="1"/>
  <c r="M316" i="1"/>
  <c r="N316" i="1" s="1"/>
  <c r="M518" i="1"/>
  <c r="N518" i="1" s="1"/>
  <c r="M264" i="1"/>
  <c r="N264" i="1" s="1"/>
  <c r="M144" i="1"/>
  <c r="N144" i="1" s="1"/>
  <c r="M424" i="1"/>
  <c r="N424" i="1" s="1"/>
  <c r="M29" i="1"/>
  <c r="N29" i="1" s="1"/>
  <c r="M91" i="1"/>
  <c r="N91" i="1" s="1"/>
  <c r="M258" i="1"/>
  <c r="N258" i="1" s="1"/>
  <c r="M701" i="1"/>
  <c r="N701" i="1" s="1"/>
  <c r="M691" i="1"/>
  <c r="N691" i="1" s="1"/>
  <c r="M753" i="1"/>
  <c r="N753" i="1" s="1"/>
  <c r="M593" i="1"/>
  <c r="N593" i="1" s="1"/>
  <c r="M573" i="1"/>
  <c r="N573" i="1" s="1"/>
  <c r="M473" i="1"/>
  <c r="N473" i="1" s="1"/>
  <c r="M353" i="1"/>
  <c r="N353" i="1" s="1"/>
  <c r="M293" i="1"/>
  <c r="N293" i="1" s="1"/>
  <c r="M193" i="1"/>
  <c r="N193" i="1" s="1"/>
  <c r="M153" i="1"/>
  <c r="N153" i="1" s="1"/>
  <c r="M133" i="1"/>
  <c r="N133" i="1" s="1"/>
  <c r="M113" i="1"/>
  <c r="N113" i="1" s="1"/>
  <c r="M33" i="1"/>
  <c r="N33" i="1" s="1"/>
  <c r="M497" i="1"/>
  <c r="N497" i="1" s="1"/>
  <c r="M17" i="1"/>
  <c r="N17" i="1" s="1"/>
  <c r="M336" i="1"/>
  <c r="N336" i="1" s="1"/>
  <c r="M720" i="1"/>
  <c r="N720" i="1" s="1"/>
  <c r="M290" i="1"/>
  <c r="N290" i="1" s="1"/>
  <c r="M501" i="1"/>
  <c r="N501" i="1" s="1"/>
  <c r="M549" i="1"/>
  <c r="N549" i="1" s="1"/>
  <c r="M123" i="1"/>
  <c r="N123" i="1" s="1"/>
  <c r="M182" i="1"/>
  <c r="N182" i="1" s="1"/>
  <c r="M41" i="1"/>
  <c r="N41" i="1" s="1"/>
  <c r="M16" i="1"/>
  <c r="N16" i="1" s="1"/>
  <c r="M723" i="1"/>
  <c r="N723" i="1" s="1"/>
  <c r="M303" i="1"/>
  <c r="N303" i="1" s="1"/>
  <c r="M194" i="1"/>
  <c r="N194" i="1" s="1"/>
  <c r="M261" i="1"/>
  <c r="N261" i="1" s="1"/>
  <c r="M445" i="1"/>
  <c r="N445" i="1" s="1"/>
  <c r="M79" i="1"/>
  <c r="N79" i="1" s="1"/>
  <c r="M779" i="1"/>
  <c r="N779" i="1" s="1"/>
  <c r="M249" i="1"/>
  <c r="N249" i="1" s="1"/>
  <c r="M357" i="1"/>
  <c r="N357" i="1" s="1"/>
  <c r="M119" i="1"/>
  <c r="N119" i="1" s="1"/>
  <c r="M225" i="1"/>
  <c r="N225" i="1" s="1"/>
  <c r="M719" i="1"/>
  <c r="N719" i="1" s="1"/>
  <c r="M581" i="1"/>
  <c r="N581" i="1" s="1"/>
  <c r="M772" i="1"/>
  <c r="N772" i="1" s="1"/>
  <c r="M592" i="1"/>
  <c r="N592" i="1" s="1"/>
  <c r="M492" i="1"/>
  <c r="N492" i="1" s="1"/>
  <c r="M372" i="1"/>
  <c r="N372" i="1" s="1"/>
  <c r="M252" i="1"/>
  <c r="N252" i="1" s="1"/>
  <c r="M152" i="1"/>
  <c r="N152" i="1" s="1"/>
  <c r="M132" i="1"/>
  <c r="N132" i="1" s="1"/>
  <c r="M112" i="1"/>
  <c r="N112" i="1" s="1"/>
  <c r="M32" i="1"/>
  <c r="N32" i="1" s="1"/>
  <c r="M62" i="1"/>
  <c r="N62" i="1" s="1"/>
  <c r="M141" i="1"/>
  <c r="N141" i="1" s="1"/>
  <c r="M741" i="1"/>
  <c r="N741" i="1" s="1"/>
  <c r="M97" i="1"/>
  <c r="N97" i="1" s="1"/>
  <c r="M562" i="1"/>
  <c r="N562" i="1" s="1"/>
  <c r="M283" i="1"/>
  <c r="N283" i="1" s="1"/>
  <c r="M762" i="1"/>
  <c r="N762" i="1" s="1"/>
  <c r="M519" i="1"/>
  <c r="N519" i="1" s="1"/>
  <c r="M183" i="1"/>
  <c r="N183" i="1" s="1"/>
  <c r="M502" i="1"/>
  <c r="N502" i="1" s="1"/>
  <c r="M82" i="1"/>
  <c r="N82" i="1" s="1"/>
  <c r="M765" i="1"/>
  <c r="N765" i="1" s="1"/>
  <c r="M15" i="1"/>
  <c r="N15" i="1" s="1"/>
  <c r="M278" i="1"/>
  <c r="N278" i="1" s="1"/>
  <c r="M600" i="1"/>
  <c r="N600" i="1" s="1"/>
  <c r="M363" i="1"/>
  <c r="N363" i="1" s="1"/>
  <c r="M280" i="1"/>
  <c r="N280" i="1" s="1"/>
  <c r="M767" i="1"/>
  <c r="N767" i="1" s="1"/>
  <c r="M716" i="1"/>
  <c r="N716" i="1" s="1"/>
  <c r="M692" i="1"/>
  <c r="N692" i="1" s="1"/>
  <c r="M522" i="1"/>
  <c r="N522" i="1" s="1"/>
  <c r="M110" i="1"/>
  <c r="N110" i="1" s="1"/>
  <c r="M311" i="1"/>
  <c r="N311" i="1" s="1"/>
  <c r="M343" i="1"/>
  <c r="N343" i="1" s="1"/>
  <c r="M39" i="1"/>
  <c r="N39" i="1" s="1"/>
  <c r="M742" i="1"/>
  <c r="N742" i="1" s="1"/>
  <c r="M541" i="1"/>
  <c r="N541" i="1" s="1"/>
  <c r="M490" i="1"/>
  <c r="N490" i="1" s="1"/>
  <c r="M165" i="1"/>
  <c r="N165" i="1" s="1"/>
  <c r="M163" i="1"/>
  <c r="N163" i="1" s="1"/>
  <c r="M415" i="1"/>
  <c r="N415" i="1" s="1"/>
  <c r="M604" i="1"/>
  <c r="N604" i="1" s="1"/>
  <c r="M771" i="1"/>
  <c r="N771" i="1" s="1"/>
  <c r="M465" i="1"/>
  <c r="N465" i="1" s="1"/>
  <c r="M493" i="1"/>
  <c r="N493" i="1" s="1"/>
  <c r="M12" i="1"/>
  <c r="N12" i="1" s="1"/>
  <c r="M642" i="1"/>
  <c r="N642" i="1" s="1"/>
  <c r="M136" i="1"/>
  <c r="N136" i="1" s="1"/>
  <c r="M786" i="1"/>
  <c r="N786" i="1" s="1"/>
  <c r="M766" i="1"/>
  <c r="N766" i="1" s="1"/>
  <c r="M746" i="1"/>
  <c r="N746" i="1" s="1"/>
  <c r="M726" i="1"/>
  <c r="N726" i="1" s="1"/>
  <c r="M666" i="1"/>
  <c r="N666" i="1" s="1"/>
  <c r="M606" i="1"/>
  <c r="N606" i="1" s="1"/>
  <c r="M566" i="1"/>
  <c r="N566" i="1" s="1"/>
  <c r="M526" i="1"/>
  <c r="N526" i="1" s="1"/>
  <c r="M486" i="1"/>
  <c r="N486" i="1" s="1"/>
  <c r="M466" i="1"/>
  <c r="N466" i="1" s="1"/>
  <c r="M426" i="1"/>
  <c r="N426" i="1" s="1"/>
  <c r="M266" i="1"/>
  <c r="N266" i="1" s="1"/>
  <c r="M226" i="1"/>
  <c r="N226" i="1" s="1"/>
  <c r="M46" i="1"/>
  <c r="N46" i="1" s="1"/>
  <c r="M55" i="1"/>
  <c r="N55" i="1" s="1"/>
  <c r="M656" i="1"/>
  <c r="N656" i="1" s="1"/>
  <c r="M256" i="1"/>
  <c r="N256" i="1" s="1"/>
  <c r="M434" i="1"/>
  <c r="N434" i="1" s="1"/>
  <c r="M676" i="1"/>
  <c r="N676" i="1" s="1"/>
  <c r="M654" i="1"/>
  <c r="N654" i="1" s="1"/>
  <c r="M52" i="1"/>
  <c r="N52" i="1" s="1"/>
  <c r="M453" i="1"/>
  <c r="N453" i="1" s="1"/>
  <c r="M253" i="1"/>
  <c r="N253" i="1" s="1"/>
  <c r="M653" i="1"/>
  <c r="N653" i="1" s="1"/>
  <c r="M233" i="1"/>
  <c r="N233" i="1" s="1"/>
  <c r="M276" i="1"/>
  <c r="N276" i="1" s="1"/>
  <c r="M456" i="1"/>
  <c r="N456" i="1" s="1"/>
  <c r="M255" i="1"/>
  <c r="N255" i="1" s="1"/>
  <c r="M454" i="1"/>
  <c r="N454" i="1" s="1"/>
  <c r="M76" i="1"/>
  <c r="N76" i="1" s="1"/>
  <c r="M655" i="1"/>
  <c r="N655" i="1" s="1"/>
  <c r="M31" i="1"/>
  <c r="N31" i="1" s="1"/>
  <c r="M611" i="1"/>
  <c r="N611" i="1" s="1"/>
  <c r="M432" i="1"/>
  <c r="N432" i="1" s="1"/>
  <c r="M411" i="1"/>
  <c r="N411" i="1" s="1"/>
  <c r="M166" i="1"/>
  <c r="N166" i="1" s="1"/>
  <c r="M234" i="1"/>
  <c r="N234" i="1" s="1"/>
  <c r="M84" i="1"/>
  <c r="N84" i="1" s="1"/>
  <c r="M212" i="1"/>
  <c r="N212" i="1" s="1"/>
  <c r="M545" i="1"/>
  <c r="N545" i="1" s="1"/>
  <c r="M301" i="1"/>
  <c r="N301" i="1" s="1"/>
  <c r="M365" i="1"/>
  <c r="N365" i="1" s="1"/>
  <c r="M211" i="1"/>
  <c r="N211" i="1" s="1"/>
  <c r="M101" i="1"/>
  <c r="N101" i="1" s="1"/>
  <c r="M366" i="1"/>
  <c r="N366" i="1" s="1"/>
  <c r="M524" i="1"/>
  <c r="N524" i="1" s="1"/>
  <c r="M675" i="1"/>
  <c r="N675" i="1" s="1"/>
  <c r="M635" i="1"/>
  <c r="N635" i="1" s="1"/>
  <c r="M44" i="1"/>
  <c r="N44" i="1" s="1"/>
  <c r="M64" i="1"/>
  <c r="N64" i="1" s="1"/>
  <c r="M413" i="1"/>
  <c r="N413" i="1" s="1"/>
  <c r="M632" i="1"/>
  <c r="N632" i="1" s="1"/>
  <c r="M146" i="1"/>
  <c r="N146" i="1" s="1"/>
  <c r="M346" i="1"/>
  <c r="N346" i="1" s="1"/>
  <c r="M520" i="1"/>
  <c r="N520" i="1" s="1"/>
  <c r="M320" i="1"/>
  <c r="N320" i="1" s="1"/>
  <c r="M525" i="1"/>
  <c r="N525" i="1" s="1"/>
  <c r="M744" i="1"/>
  <c r="N744" i="1" s="1"/>
  <c r="M634" i="1"/>
  <c r="N634" i="1" s="1"/>
  <c r="M391" i="1"/>
  <c r="N391" i="1" s="1"/>
  <c r="M341" i="1"/>
  <c r="N341" i="1" s="1"/>
</calcChain>
</file>

<file path=xl/sharedStrings.xml><?xml version="1.0" encoding="utf-8"?>
<sst xmlns="http://schemas.openxmlformats.org/spreadsheetml/2006/main" count="5194" uniqueCount="1000">
  <si>
    <t>Date</t>
  </si>
  <si>
    <t>Region</t>
  </si>
  <si>
    <t>Salesperson</t>
  </si>
  <si>
    <t>Product</t>
  </si>
  <si>
    <t>Category</t>
  </si>
  <si>
    <t>Quantity Sold</t>
  </si>
  <si>
    <t>Unit Price (NGN)</t>
  </si>
  <si>
    <t>Customer Name</t>
  </si>
  <si>
    <t>Gender</t>
  </si>
  <si>
    <t>Cost Price (NGN)</t>
  </si>
  <si>
    <t>Lagos</t>
  </si>
  <si>
    <t>Bola</t>
  </si>
  <si>
    <t>Eggs</t>
  </si>
  <si>
    <t>Roots</t>
  </si>
  <si>
    <t>Customer_1</t>
  </si>
  <si>
    <t>Male</t>
  </si>
  <si>
    <t>Fatima</t>
  </si>
  <si>
    <t>Rice</t>
  </si>
  <si>
    <t>Snacks</t>
  </si>
  <si>
    <t>Customer_2</t>
  </si>
  <si>
    <t>Port Harcourt</t>
  </si>
  <si>
    <t>Ngozi</t>
  </si>
  <si>
    <t>Plantain Chips</t>
  </si>
  <si>
    <t>Protein</t>
  </si>
  <si>
    <t>Customer_3</t>
  </si>
  <si>
    <t>Female</t>
  </si>
  <si>
    <t>Abuja</t>
  </si>
  <si>
    <t>Ade</t>
  </si>
  <si>
    <t>Customer_4</t>
  </si>
  <si>
    <t>Ibadan</t>
  </si>
  <si>
    <t>Milk</t>
  </si>
  <si>
    <t>Bakery</t>
  </si>
  <si>
    <t>Customer_5</t>
  </si>
  <si>
    <t>John</t>
  </si>
  <si>
    <t>Customer_6</t>
  </si>
  <si>
    <t>Kano</t>
  </si>
  <si>
    <t>Chioma</t>
  </si>
  <si>
    <t>Beverages</t>
  </si>
  <si>
    <t>Customer_7</t>
  </si>
  <si>
    <t>Soft Drink</t>
  </si>
  <si>
    <t>Dairy</t>
  </si>
  <si>
    <t>Customer_8</t>
  </si>
  <si>
    <t>Soap</t>
  </si>
  <si>
    <t>Customer_9</t>
  </si>
  <si>
    <t>Customer_10</t>
  </si>
  <si>
    <t>Customer_11</t>
  </si>
  <si>
    <t>Tunde</t>
  </si>
  <si>
    <t>Spread</t>
  </si>
  <si>
    <t>Customer_12</t>
  </si>
  <si>
    <t>Customer_13</t>
  </si>
  <si>
    <t>Customer_14</t>
  </si>
  <si>
    <t>Customer_15</t>
  </si>
  <si>
    <t>Household</t>
  </si>
  <si>
    <t>Customer_16</t>
  </si>
  <si>
    <t>Beans</t>
  </si>
  <si>
    <t>Customer_17</t>
  </si>
  <si>
    <t>Grains</t>
  </si>
  <si>
    <t>Customer_18</t>
  </si>
  <si>
    <t>Customer_19</t>
  </si>
  <si>
    <t>Legumes</t>
  </si>
  <si>
    <t>Customer_20</t>
  </si>
  <si>
    <t>Customer_21</t>
  </si>
  <si>
    <t>Customer_22</t>
  </si>
  <si>
    <t>Customer_23</t>
  </si>
  <si>
    <t>Yam</t>
  </si>
  <si>
    <t>Customer_24</t>
  </si>
  <si>
    <t>Emeka</t>
  </si>
  <si>
    <t>Bread</t>
  </si>
  <si>
    <t>Customer_25</t>
  </si>
  <si>
    <t>Customer_26</t>
  </si>
  <si>
    <t>Customer_27</t>
  </si>
  <si>
    <t>Customer_28</t>
  </si>
  <si>
    <t>Customer_29</t>
  </si>
  <si>
    <t>Customer_30</t>
  </si>
  <si>
    <t>Customer_31</t>
  </si>
  <si>
    <t>Butter</t>
  </si>
  <si>
    <t>Customer_32</t>
  </si>
  <si>
    <t>Customer_33</t>
  </si>
  <si>
    <t>Customer_34</t>
  </si>
  <si>
    <t>Customer_35</t>
  </si>
  <si>
    <t>Customer_36</t>
  </si>
  <si>
    <t>Customer_37</t>
  </si>
  <si>
    <t>Customer_38</t>
  </si>
  <si>
    <t>Customer_39</t>
  </si>
  <si>
    <t>Customer_40</t>
  </si>
  <si>
    <t>Customer_41</t>
  </si>
  <si>
    <t>Customer_42</t>
  </si>
  <si>
    <t>Customer_43</t>
  </si>
  <si>
    <t>Customer_44</t>
  </si>
  <si>
    <t>Customer_45</t>
  </si>
  <si>
    <t>Customer_46</t>
  </si>
  <si>
    <t>Customer_47</t>
  </si>
  <si>
    <t>Customer_48</t>
  </si>
  <si>
    <t>Customer_49</t>
  </si>
  <si>
    <t>Customer_50</t>
  </si>
  <si>
    <t>Customer_51</t>
  </si>
  <si>
    <t>Customer_52</t>
  </si>
  <si>
    <t>Customer_53</t>
  </si>
  <si>
    <t>Customer_54</t>
  </si>
  <si>
    <t>Customer_55</t>
  </si>
  <si>
    <t>Customer_56</t>
  </si>
  <si>
    <t>Customer_57</t>
  </si>
  <si>
    <t>Customer_58</t>
  </si>
  <si>
    <t>Customer_59</t>
  </si>
  <si>
    <t>Customer_60</t>
  </si>
  <si>
    <t>Customer_61</t>
  </si>
  <si>
    <t>Customer_62</t>
  </si>
  <si>
    <t>Customer_63</t>
  </si>
  <si>
    <t>Customer_64</t>
  </si>
  <si>
    <t>Customer_65</t>
  </si>
  <si>
    <t>Customer_66</t>
  </si>
  <si>
    <t>Customer_67</t>
  </si>
  <si>
    <t>Customer_68</t>
  </si>
  <si>
    <t>Customer_69</t>
  </si>
  <si>
    <t>Customer_70</t>
  </si>
  <si>
    <t>Customer_71</t>
  </si>
  <si>
    <t>Customer_72</t>
  </si>
  <si>
    <t>Customer_73</t>
  </si>
  <si>
    <t>Customer_74</t>
  </si>
  <si>
    <t>Customer_75</t>
  </si>
  <si>
    <t>Customer_76</t>
  </si>
  <si>
    <t>Customer_77</t>
  </si>
  <si>
    <t>Customer_78</t>
  </si>
  <si>
    <t>Customer_79</t>
  </si>
  <si>
    <t>Customer_80</t>
  </si>
  <si>
    <t>Customer_81</t>
  </si>
  <si>
    <t>Customer_82</t>
  </si>
  <si>
    <t>Customer_83</t>
  </si>
  <si>
    <t>Customer_84</t>
  </si>
  <si>
    <t>Customer_85</t>
  </si>
  <si>
    <t>Customer_86</t>
  </si>
  <si>
    <t>Customer_87</t>
  </si>
  <si>
    <t>Customer_88</t>
  </si>
  <si>
    <t>Customer_89</t>
  </si>
  <si>
    <t>Customer_90</t>
  </si>
  <si>
    <t>Customer_91</t>
  </si>
  <si>
    <t>Customer_92</t>
  </si>
  <si>
    <t>Customer_93</t>
  </si>
  <si>
    <t>Customer_94</t>
  </si>
  <si>
    <t>Customer_95</t>
  </si>
  <si>
    <t>Customer_96</t>
  </si>
  <si>
    <t>Customer_97</t>
  </si>
  <si>
    <t>Customer_98</t>
  </si>
  <si>
    <t>Customer_99</t>
  </si>
  <si>
    <t>Customer_100</t>
  </si>
  <si>
    <t>Customer_101</t>
  </si>
  <si>
    <t>Customer_102</t>
  </si>
  <si>
    <t>Customer_103</t>
  </si>
  <si>
    <t>Customer_104</t>
  </si>
  <si>
    <t>Customer_105</t>
  </si>
  <si>
    <t>Customer_106</t>
  </si>
  <si>
    <t>Customer_107</t>
  </si>
  <si>
    <t>Customer_108</t>
  </si>
  <si>
    <t>Customer_109</t>
  </si>
  <si>
    <t>Customer_110</t>
  </si>
  <si>
    <t>Customer_111</t>
  </si>
  <si>
    <t>Customer_112</t>
  </si>
  <si>
    <t>Customer_113</t>
  </si>
  <si>
    <t>Customer_114</t>
  </si>
  <si>
    <t>Customer_115</t>
  </si>
  <si>
    <t>Customer_116</t>
  </si>
  <si>
    <t>Customer_117</t>
  </si>
  <si>
    <t>Customer_118</t>
  </si>
  <si>
    <t>Customer_119</t>
  </si>
  <si>
    <t>Customer_120</t>
  </si>
  <si>
    <t>Customer_121</t>
  </si>
  <si>
    <t>Customer_122</t>
  </si>
  <si>
    <t>Customer_123</t>
  </si>
  <si>
    <t>Customer_124</t>
  </si>
  <si>
    <t>Customer_125</t>
  </si>
  <si>
    <t>Customer_126</t>
  </si>
  <si>
    <t>Customer_127</t>
  </si>
  <si>
    <t>Customer_128</t>
  </si>
  <si>
    <t>Customer_129</t>
  </si>
  <si>
    <t>Customer_130</t>
  </si>
  <si>
    <t>Customer_131</t>
  </si>
  <si>
    <t>Customer_132</t>
  </si>
  <si>
    <t>Customer_133</t>
  </si>
  <si>
    <t>Customer_134</t>
  </si>
  <si>
    <t>Customer_135</t>
  </si>
  <si>
    <t>Customer_136</t>
  </si>
  <si>
    <t>Customer_137</t>
  </si>
  <si>
    <t>Customer_138</t>
  </si>
  <si>
    <t>Customer_139</t>
  </si>
  <si>
    <t>Customer_140</t>
  </si>
  <si>
    <t>Customer_141</t>
  </si>
  <si>
    <t>Customer_142</t>
  </si>
  <si>
    <t>Customer_143</t>
  </si>
  <si>
    <t>Customer_144</t>
  </si>
  <si>
    <t>Customer_145</t>
  </si>
  <si>
    <t>Customer_146</t>
  </si>
  <si>
    <t>Customer_147</t>
  </si>
  <si>
    <t>Customer_148</t>
  </si>
  <si>
    <t>Customer_149</t>
  </si>
  <si>
    <t>Customer_150</t>
  </si>
  <si>
    <t>Customer_151</t>
  </si>
  <si>
    <t>Customer_152</t>
  </si>
  <si>
    <t>Customer_153</t>
  </si>
  <si>
    <t>Customer_154</t>
  </si>
  <si>
    <t>Customer_155</t>
  </si>
  <si>
    <t>Customer_156</t>
  </si>
  <si>
    <t>Customer_157</t>
  </si>
  <si>
    <t>Customer_158</t>
  </si>
  <si>
    <t>Customer_159</t>
  </si>
  <si>
    <t>Customer_160</t>
  </si>
  <si>
    <t>Customer_161</t>
  </si>
  <si>
    <t>Customer_162</t>
  </si>
  <si>
    <t>Customer_163</t>
  </si>
  <si>
    <t>Customer_164</t>
  </si>
  <si>
    <t>Customer_165</t>
  </si>
  <si>
    <t>Customer_166</t>
  </si>
  <si>
    <t>Customer_167</t>
  </si>
  <si>
    <t>Customer_168</t>
  </si>
  <si>
    <t>Customer_169</t>
  </si>
  <si>
    <t>Customer_170</t>
  </si>
  <si>
    <t>Customer_171</t>
  </si>
  <si>
    <t>Customer_172</t>
  </si>
  <si>
    <t>Customer_173</t>
  </si>
  <si>
    <t>Customer_174</t>
  </si>
  <si>
    <t>Customer_175</t>
  </si>
  <si>
    <t>Customer_176</t>
  </si>
  <si>
    <t>Customer_177</t>
  </si>
  <si>
    <t>Customer_178</t>
  </si>
  <si>
    <t>Customer_179</t>
  </si>
  <si>
    <t>Customer_180</t>
  </si>
  <si>
    <t>Customer_181</t>
  </si>
  <si>
    <t>Customer_182</t>
  </si>
  <si>
    <t>Customer_183</t>
  </si>
  <si>
    <t>Customer_184</t>
  </si>
  <si>
    <t>Customer_185</t>
  </si>
  <si>
    <t>Customer_186</t>
  </si>
  <si>
    <t>Customer_187</t>
  </si>
  <si>
    <t>Customer_188</t>
  </si>
  <si>
    <t>Customer_189</t>
  </si>
  <si>
    <t>Customer_190</t>
  </si>
  <si>
    <t>Customer_191</t>
  </si>
  <si>
    <t>Customer_192</t>
  </si>
  <si>
    <t>Customer_193</t>
  </si>
  <si>
    <t>Customer_194</t>
  </si>
  <si>
    <t>Customer_195</t>
  </si>
  <si>
    <t>Customer_196</t>
  </si>
  <si>
    <t>Customer_197</t>
  </si>
  <si>
    <t>Customer_198</t>
  </si>
  <si>
    <t>Customer_199</t>
  </si>
  <si>
    <t>Customer_200</t>
  </si>
  <si>
    <t>Customer_201</t>
  </si>
  <si>
    <t>Customer_202</t>
  </si>
  <si>
    <t>Customer_203</t>
  </si>
  <si>
    <t>Customer_204</t>
  </si>
  <si>
    <t>Customer_205</t>
  </si>
  <si>
    <t>Customer_206</t>
  </si>
  <si>
    <t>Customer_207</t>
  </si>
  <si>
    <t>Customer_208</t>
  </si>
  <si>
    <t>Customer_209</t>
  </si>
  <si>
    <t>Customer_210</t>
  </si>
  <si>
    <t>Customer_211</t>
  </si>
  <si>
    <t>Customer_212</t>
  </si>
  <si>
    <t>Customer_213</t>
  </si>
  <si>
    <t>Customer_214</t>
  </si>
  <si>
    <t>Customer_215</t>
  </si>
  <si>
    <t>Customer_216</t>
  </si>
  <si>
    <t>Customer_217</t>
  </si>
  <si>
    <t>Customer_218</t>
  </si>
  <si>
    <t>Customer_219</t>
  </si>
  <si>
    <t>Customer_220</t>
  </si>
  <si>
    <t>Customer_221</t>
  </si>
  <si>
    <t>Customer_222</t>
  </si>
  <si>
    <t>Customer_223</t>
  </si>
  <si>
    <t>Customer_224</t>
  </si>
  <si>
    <t>Customer_225</t>
  </si>
  <si>
    <t>Customer_226</t>
  </si>
  <si>
    <t>Customer_227</t>
  </si>
  <si>
    <t>Customer_228</t>
  </si>
  <si>
    <t>Customer_229</t>
  </si>
  <si>
    <t>Customer_230</t>
  </si>
  <si>
    <t>Customer_231</t>
  </si>
  <si>
    <t>Customer_232</t>
  </si>
  <si>
    <t>Customer_233</t>
  </si>
  <si>
    <t>Customer_234</t>
  </si>
  <si>
    <t>Customer_235</t>
  </si>
  <si>
    <t>Customer_236</t>
  </si>
  <si>
    <t>Customer_237</t>
  </si>
  <si>
    <t>Customer_238</t>
  </si>
  <si>
    <t>Customer_239</t>
  </si>
  <si>
    <t>Customer_240</t>
  </si>
  <si>
    <t>Customer_241</t>
  </si>
  <si>
    <t>Customer_242</t>
  </si>
  <si>
    <t>Customer_243</t>
  </si>
  <si>
    <t>Customer_244</t>
  </si>
  <si>
    <t>Customer_245</t>
  </si>
  <si>
    <t>Customer_246</t>
  </si>
  <si>
    <t>Customer_247</t>
  </si>
  <si>
    <t>Customer_248</t>
  </si>
  <si>
    <t>Customer_249</t>
  </si>
  <si>
    <t>Customer_250</t>
  </si>
  <si>
    <t>Customer_251</t>
  </si>
  <si>
    <t>Customer_252</t>
  </si>
  <si>
    <t>Customer_253</t>
  </si>
  <si>
    <t>Customer_254</t>
  </si>
  <si>
    <t>Customer_255</t>
  </si>
  <si>
    <t>Customer_256</t>
  </si>
  <si>
    <t>Customer_257</t>
  </si>
  <si>
    <t>Customer_258</t>
  </si>
  <si>
    <t>Customer_259</t>
  </si>
  <si>
    <t>Customer_260</t>
  </si>
  <si>
    <t>Customer_261</t>
  </si>
  <si>
    <t>Customer_262</t>
  </si>
  <si>
    <t>Customer_263</t>
  </si>
  <si>
    <t>Customer_264</t>
  </si>
  <si>
    <t>Customer_265</t>
  </si>
  <si>
    <t>Customer_266</t>
  </si>
  <si>
    <t>Customer_267</t>
  </si>
  <si>
    <t>Customer_268</t>
  </si>
  <si>
    <t>Customer_269</t>
  </si>
  <si>
    <t>Customer_270</t>
  </si>
  <si>
    <t>Customer_271</t>
  </si>
  <si>
    <t>Customer_272</t>
  </si>
  <si>
    <t>Customer_273</t>
  </si>
  <si>
    <t>Customer_274</t>
  </si>
  <si>
    <t>Customer_275</t>
  </si>
  <si>
    <t>Customer_276</t>
  </si>
  <si>
    <t>Customer_277</t>
  </si>
  <si>
    <t>Customer_278</t>
  </si>
  <si>
    <t>Customer_279</t>
  </si>
  <si>
    <t>Customer_280</t>
  </si>
  <si>
    <t>Customer_281</t>
  </si>
  <si>
    <t>Customer_282</t>
  </si>
  <si>
    <t>Customer_283</t>
  </si>
  <si>
    <t>Customer_284</t>
  </si>
  <si>
    <t>Customer_285</t>
  </si>
  <si>
    <t>Customer_286</t>
  </si>
  <si>
    <t>Customer_287</t>
  </si>
  <si>
    <t>Customer_288</t>
  </si>
  <si>
    <t>Customer_289</t>
  </si>
  <si>
    <t>Customer_290</t>
  </si>
  <si>
    <t>Customer_291</t>
  </si>
  <si>
    <t>Customer_292</t>
  </si>
  <si>
    <t>Customer_293</t>
  </si>
  <si>
    <t>Customer_294</t>
  </si>
  <si>
    <t>Customer_295</t>
  </si>
  <si>
    <t>Customer_296</t>
  </si>
  <si>
    <t>Customer_297</t>
  </si>
  <si>
    <t>Customer_298</t>
  </si>
  <si>
    <t>Customer_299</t>
  </si>
  <si>
    <t>Customer_300</t>
  </si>
  <si>
    <t>Customer_301</t>
  </si>
  <si>
    <t>Customer_302</t>
  </si>
  <si>
    <t>Customer_303</t>
  </si>
  <si>
    <t>Customer_304</t>
  </si>
  <si>
    <t>Customer_305</t>
  </si>
  <si>
    <t>Customer_306</t>
  </si>
  <si>
    <t>Customer_307</t>
  </si>
  <si>
    <t>Customer_308</t>
  </si>
  <si>
    <t>Customer_309</t>
  </si>
  <si>
    <t>Customer_310</t>
  </si>
  <si>
    <t>Customer_311</t>
  </si>
  <si>
    <t>Customer_312</t>
  </si>
  <si>
    <t>Customer_313</t>
  </si>
  <si>
    <t>Customer_314</t>
  </si>
  <si>
    <t>Customer_315</t>
  </si>
  <si>
    <t>Customer_316</t>
  </si>
  <si>
    <t>Customer_317</t>
  </si>
  <si>
    <t>Customer_318</t>
  </si>
  <si>
    <t>Customer_319</t>
  </si>
  <si>
    <t>Customer_320</t>
  </si>
  <si>
    <t>Customer_321</t>
  </si>
  <si>
    <t>Customer_322</t>
  </si>
  <si>
    <t>Customer_323</t>
  </si>
  <si>
    <t>Customer_324</t>
  </si>
  <si>
    <t>Customer_325</t>
  </si>
  <si>
    <t>Customer_326</t>
  </si>
  <si>
    <t>Customer_327</t>
  </si>
  <si>
    <t>Customer_328</t>
  </si>
  <si>
    <t>Customer_329</t>
  </si>
  <si>
    <t>Customer_330</t>
  </si>
  <si>
    <t>Customer_331</t>
  </si>
  <si>
    <t>Customer_332</t>
  </si>
  <si>
    <t>Customer_333</t>
  </si>
  <si>
    <t>Customer_334</t>
  </si>
  <si>
    <t>Customer_335</t>
  </si>
  <si>
    <t>Customer_336</t>
  </si>
  <si>
    <t>Customer_337</t>
  </si>
  <si>
    <t>Customer_338</t>
  </si>
  <si>
    <t>Customer_339</t>
  </si>
  <si>
    <t>Customer_340</t>
  </si>
  <si>
    <t>Customer_341</t>
  </si>
  <si>
    <t>Customer_342</t>
  </si>
  <si>
    <t>Customer_343</t>
  </si>
  <si>
    <t>Customer_344</t>
  </si>
  <si>
    <t>Customer_345</t>
  </si>
  <si>
    <t>Customer_346</t>
  </si>
  <si>
    <t>Customer_347</t>
  </si>
  <si>
    <t>Customer_348</t>
  </si>
  <si>
    <t>Customer_349</t>
  </si>
  <si>
    <t>Customer_350</t>
  </si>
  <si>
    <t>Customer_351</t>
  </si>
  <si>
    <t>Customer_352</t>
  </si>
  <si>
    <t>Customer_353</t>
  </si>
  <si>
    <t>Customer_354</t>
  </si>
  <si>
    <t>Customer_355</t>
  </si>
  <si>
    <t>Customer_356</t>
  </si>
  <si>
    <t>Customer_357</t>
  </si>
  <si>
    <t>Customer_358</t>
  </si>
  <si>
    <t>Customer_359</t>
  </si>
  <si>
    <t>Customer_360</t>
  </si>
  <si>
    <t>Customer_361</t>
  </si>
  <si>
    <t>Customer_362</t>
  </si>
  <si>
    <t>Customer_363</t>
  </si>
  <si>
    <t>Customer_364</t>
  </si>
  <si>
    <t>Customer_365</t>
  </si>
  <si>
    <t>Customer_366</t>
  </si>
  <si>
    <t>Customer_367</t>
  </si>
  <si>
    <t>Customer_368</t>
  </si>
  <si>
    <t>Customer_369</t>
  </si>
  <si>
    <t>Customer_370</t>
  </si>
  <si>
    <t>Customer_371</t>
  </si>
  <si>
    <t>Customer_372</t>
  </si>
  <si>
    <t>Customer_373</t>
  </si>
  <si>
    <t>Customer_374</t>
  </si>
  <si>
    <t>Customer_375</t>
  </si>
  <si>
    <t>Customer_376</t>
  </si>
  <si>
    <t>Customer_377</t>
  </si>
  <si>
    <t>Customer_378</t>
  </si>
  <si>
    <t>Customer_379</t>
  </si>
  <si>
    <t>Customer_380</t>
  </si>
  <si>
    <t>Customer_381</t>
  </si>
  <si>
    <t>Customer_382</t>
  </si>
  <si>
    <t>Customer_383</t>
  </si>
  <si>
    <t>Customer_384</t>
  </si>
  <si>
    <t>Customer_385</t>
  </si>
  <si>
    <t>Customer_386</t>
  </si>
  <si>
    <t>Customer_387</t>
  </si>
  <si>
    <t>Customer_388</t>
  </si>
  <si>
    <t>Customer_389</t>
  </si>
  <si>
    <t>Customer_390</t>
  </si>
  <si>
    <t>Customer_391</t>
  </si>
  <si>
    <t>Customer_392</t>
  </si>
  <si>
    <t>Customer_393</t>
  </si>
  <si>
    <t>Customer_394</t>
  </si>
  <si>
    <t>Customer_395</t>
  </si>
  <si>
    <t>Customer_396</t>
  </si>
  <si>
    <t>Customer_397</t>
  </si>
  <si>
    <t>Customer_398</t>
  </si>
  <si>
    <t>Customer_399</t>
  </si>
  <si>
    <t>Customer_400</t>
  </si>
  <si>
    <t>Customer_401</t>
  </si>
  <si>
    <t>Customer_402</t>
  </si>
  <si>
    <t>Customer_403</t>
  </si>
  <si>
    <t>Customer_404</t>
  </si>
  <si>
    <t>Customer_405</t>
  </si>
  <si>
    <t>Customer_406</t>
  </si>
  <si>
    <t>Customer_407</t>
  </si>
  <si>
    <t>Customer_408</t>
  </si>
  <si>
    <t>Customer_409</t>
  </si>
  <si>
    <t>Customer_410</t>
  </si>
  <si>
    <t>Customer_411</t>
  </si>
  <si>
    <t>Customer_412</t>
  </si>
  <si>
    <t>Customer_413</t>
  </si>
  <si>
    <t>Customer_414</t>
  </si>
  <si>
    <t>Customer_415</t>
  </si>
  <si>
    <t>Customer_416</t>
  </si>
  <si>
    <t>Customer_417</t>
  </si>
  <si>
    <t>Customer_418</t>
  </si>
  <si>
    <t>Customer_419</t>
  </si>
  <si>
    <t>Customer_420</t>
  </si>
  <si>
    <t>Customer_421</t>
  </si>
  <si>
    <t>Customer_422</t>
  </si>
  <si>
    <t>Customer_423</t>
  </si>
  <si>
    <t>Customer_424</t>
  </si>
  <si>
    <t>Customer_425</t>
  </si>
  <si>
    <t>Customer_426</t>
  </si>
  <si>
    <t>Customer_427</t>
  </si>
  <si>
    <t>Customer_428</t>
  </si>
  <si>
    <t>Customer_429</t>
  </si>
  <si>
    <t>Customer_430</t>
  </si>
  <si>
    <t>Customer_431</t>
  </si>
  <si>
    <t>Customer_432</t>
  </si>
  <si>
    <t>Customer_433</t>
  </si>
  <si>
    <t>Customer_434</t>
  </si>
  <si>
    <t>Customer_435</t>
  </si>
  <si>
    <t>Customer_436</t>
  </si>
  <si>
    <t>Customer_437</t>
  </si>
  <si>
    <t>Customer_438</t>
  </si>
  <si>
    <t>Customer_439</t>
  </si>
  <si>
    <t>Customer_440</t>
  </si>
  <si>
    <t>Customer_441</t>
  </si>
  <si>
    <t>Customer_442</t>
  </si>
  <si>
    <t>Customer_443</t>
  </si>
  <si>
    <t>Customer_444</t>
  </si>
  <si>
    <t>Customer_445</t>
  </si>
  <si>
    <t>Customer_446</t>
  </si>
  <si>
    <t>Customer_447</t>
  </si>
  <si>
    <t>Customer_448</t>
  </si>
  <si>
    <t>Customer_449</t>
  </si>
  <si>
    <t>Customer_450</t>
  </si>
  <si>
    <t>Customer_451</t>
  </si>
  <si>
    <t>Customer_452</t>
  </si>
  <si>
    <t>Customer_453</t>
  </si>
  <si>
    <t>Customer_454</t>
  </si>
  <si>
    <t>Customer_455</t>
  </si>
  <si>
    <t>Customer_456</t>
  </si>
  <si>
    <t>Customer_457</t>
  </si>
  <si>
    <t>Customer_458</t>
  </si>
  <si>
    <t>Customer_459</t>
  </si>
  <si>
    <t>Customer_460</t>
  </si>
  <si>
    <t>Customer_461</t>
  </si>
  <si>
    <t>Customer_462</t>
  </si>
  <si>
    <t>Customer_463</t>
  </si>
  <si>
    <t>Customer_464</t>
  </si>
  <si>
    <t>Customer_465</t>
  </si>
  <si>
    <t>Customer_466</t>
  </si>
  <si>
    <t>Customer_467</t>
  </si>
  <si>
    <t>Customer_468</t>
  </si>
  <si>
    <t>Customer_469</t>
  </si>
  <si>
    <t>Customer_470</t>
  </si>
  <si>
    <t>Customer_471</t>
  </si>
  <si>
    <t>Customer_472</t>
  </si>
  <si>
    <t>Customer_473</t>
  </si>
  <si>
    <t>Customer_474</t>
  </si>
  <si>
    <t>Customer_475</t>
  </si>
  <si>
    <t>Customer_476</t>
  </si>
  <si>
    <t>Customer_477</t>
  </si>
  <si>
    <t>Customer_478</t>
  </si>
  <si>
    <t>Customer_479</t>
  </si>
  <si>
    <t>Customer_480</t>
  </si>
  <si>
    <t>Customer_481</t>
  </si>
  <si>
    <t>Customer_482</t>
  </si>
  <si>
    <t>Customer_483</t>
  </si>
  <si>
    <t>Customer_484</t>
  </si>
  <si>
    <t>Customer_485</t>
  </si>
  <si>
    <t>Customer_486</t>
  </si>
  <si>
    <t>Customer_487</t>
  </si>
  <si>
    <t>Customer_488</t>
  </si>
  <si>
    <t>Customer_489</t>
  </si>
  <si>
    <t>Customer_490</t>
  </si>
  <si>
    <t>Customer_491</t>
  </si>
  <si>
    <t>Customer_492</t>
  </si>
  <si>
    <t>Customer_493</t>
  </si>
  <si>
    <t>Customer_494</t>
  </si>
  <si>
    <t>Customer_495</t>
  </si>
  <si>
    <t>Customer_496</t>
  </si>
  <si>
    <t>Customer_497</t>
  </si>
  <si>
    <t>Customer_498</t>
  </si>
  <si>
    <t>Customer_499</t>
  </si>
  <si>
    <t>Customer_500</t>
  </si>
  <si>
    <t>Customer_501</t>
  </si>
  <si>
    <t>Customer_502</t>
  </si>
  <si>
    <t>Customer_503</t>
  </si>
  <si>
    <t>Customer_504</t>
  </si>
  <si>
    <t>Customer_505</t>
  </si>
  <si>
    <t>Customer_506</t>
  </si>
  <si>
    <t>Customer_507</t>
  </si>
  <si>
    <t>Customer_508</t>
  </si>
  <si>
    <t>Customer_509</t>
  </si>
  <si>
    <t>Customer_510</t>
  </si>
  <si>
    <t>Customer_511</t>
  </si>
  <si>
    <t>Customer_512</t>
  </si>
  <si>
    <t>Customer_513</t>
  </si>
  <si>
    <t>Customer_514</t>
  </si>
  <si>
    <t>Customer_515</t>
  </si>
  <si>
    <t>Customer_516</t>
  </si>
  <si>
    <t>Customer_517</t>
  </si>
  <si>
    <t>Customer_518</t>
  </si>
  <si>
    <t>Customer_519</t>
  </si>
  <si>
    <t>Customer_520</t>
  </si>
  <si>
    <t>Customer_521</t>
  </si>
  <si>
    <t>Customer_522</t>
  </si>
  <si>
    <t>Customer_523</t>
  </si>
  <si>
    <t>Customer_524</t>
  </si>
  <si>
    <t>Customer_525</t>
  </si>
  <si>
    <t>Customer_526</t>
  </si>
  <si>
    <t>Customer_527</t>
  </si>
  <si>
    <t>Customer_528</t>
  </si>
  <si>
    <t>Customer_529</t>
  </si>
  <si>
    <t>Customer_530</t>
  </si>
  <si>
    <t>Customer_531</t>
  </si>
  <si>
    <t>Customer_532</t>
  </si>
  <si>
    <t>Customer_533</t>
  </si>
  <si>
    <t>Customer_534</t>
  </si>
  <si>
    <t>Customer_535</t>
  </si>
  <si>
    <t>Customer_536</t>
  </si>
  <si>
    <t>Customer_537</t>
  </si>
  <si>
    <t>Customer_538</t>
  </si>
  <si>
    <t>Customer_539</t>
  </si>
  <si>
    <t>Customer_540</t>
  </si>
  <si>
    <t>Customer_541</t>
  </si>
  <si>
    <t>Customer_542</t>
  </si>
  <si>
    <t>Customer_543</t>
  </si>
  <si>
    <t>Customer_544</t>
  </si>
  <si>
    <t>Customer_545</t>
  </si>
  <si>
    <t>Customer_546</t>
  </si>
  <si>
    <t>Customer_547</t>
  </si>
  <si>
    <t>Customer_548</t>
  </si>
  <si>
    <t>Customer_549</t>
  </si>
  <si>
    <t>Customer_550</t>
  </si>
  <si>
    <t>Customer_551</t>
  </si>
  <si>
    <t>Customer_552</t>
  </si>
  <si>
    <t>Customer_553</t>
  </si>
  <si>
    <t>Customer_554</t>
  </si>
  <si>
    <t>Customer_555</t>
  </si>
  <si>
    <t>Customer_556</t>
  </si>
  <si>
    <t>Customer_557</t>
  </si>
  <si>
    <t>Customer_558</t>
  </si>
  <si>
    <t>Customer_559</t>
  </si>
  <si>
    <t>Customer_560</t>
  </si>
  <si>
    <t>Customer_561</t>
  </si>
  <si>
    <t>Customer_562</t>
  </si>
  <si>
    <t>Customer_563</t>
  </si>
  <si>
    <t>Customer_564</t>
  </si>
  <si>
    <t>Customer_565</t>
  </si>
  <si>
    <t>Customer_566</t>
  </si>
  <si>
    <t>Customer_567</t>
  </si>
  <si>
    <t>Customer_568</t>
  </si>
  <si>
    <t>Customer_569</t>
  </si>
  <si>
    <t>Customer_570</t>
  </si>
  <si>
    <t>Customer_571</t>
  </si>
  <si>
    <t>Customer_572</t>
  </si>
  <si>
    <t>Customer_573</t>
  </si>
  <si>
    <t>Customer_574</t>
  </si>
  <si>
    <t>Customer_575</t>
  </si>
  <si>
    <t>Customer_576</t>
  </si>
  <si>
    <t>Customer_577</t>
  </si>
  <si>
    <t>Customer_578</t>
  </si>
  <si>
    <t>Customer_579</t>
  </si>
  <si>
    <t>Customer_580</t>
  </si>
  <si>
    <t>Customer_581</t>
  </si>
  <si>
    <t>Customer_582</t>
  </si>
  <si>
    <t>Customer_583</t>
  </si>
  <si>
    <t>Customer_584</t>
  </si>
  <si>
    <t>Customer_585</t>
  </si>
  <si>
    <t>Customer_586</t>
  </si>
  <si>
    <t>Customer_587</t>
  </si>
  <si>
    <t>Customer_588</t>
  </si>
  <si>
    <t>Customer_589</t>
  </si>
  <si>
    <t>Customer_590</t>
  </si>
  <si>
    <t>Customer_591</t>
  </si>
  <si>
    <t>Customer_592</t>
  </si>
  <si>
    <t>Customer_593</t>
  </si>
  <si>
    <t>Customer_594</t>
  </si>
  <si>
    <t>Customer_595</t>
  </si>
  <si>
    <t>Customer_596</t>
  </si>
  <si>
    <t>Customer_597</t>
  </si>
  <si>
    <t>Customer_598</t>
  </si>
  <si>
    <t>Customer_599</t>
  </si>
  <si>
    <t>Customer_600</t>
  </si>
  <si>
    <t>Customer_601</t>
  </si>
  <si>
    <t>Customer_602</t>
  </si>
  <si>
    <t>Customer_603</t>
  </si>
  <si>
    <t>Customer_604</t>
  </si>
  <si>
    <t>Customer_605</t>
  </si>
  <si>
    <t>Customer_606</t>
  </si>
  <si>
    <t>Customer_607</t>
  </si>
  <si>
    <t>Customer_608</t>
  </si>
  <si>
    <t>Customer_609</t>
  </si>
  <si>
    <t>Customer_610</t>
  </si>
  <si>
    <t>Customer_611</t>
  </si>
  <si>
    <t>Customer_612</t>
  </si>
  <si>
    <t>Customer_613</t>
  </si>
  <si>
    <t>Customer_614</t>
  </si>
  <si>
    <t>Customer_615</t>
  </si>
  <si>
    <t>Customer_616</t>
  </si>
  <si>
    <t>Customer_617</t>
  </si>
  <si>
    <t>Customer_618</t>
  </si>
  <si>
    <t>Customer_619</t>
  </si>
  <si>
    <t>Customer_620</t>
  </si>
  <si>
    <t>Customer_621</t>
  </si>
  <si>
    <t>Customer_622</t>
  </si>
  <si>
    <t>Customer_623</t>
  </si>
  <si>
    <t>Customer_624</t>
  </si>
  <si>
    <t>Customer_625</t>
  </si>
  <si>
    <t>Customer_626</t>
  </si>
  <si>
    <t>Customer_627</t>
  </si>
  <si>
    <t>Customer_628</t>
  </si>
  <si>
    <t>Customer_629</t>
  </si>
  <si>
    <t>Customer_630</t>
  </si>
  <si>
    <t>Customer_631</t>
  </si>
  <si>
    <t>Customer_632</t>
  </si>
  <si>
    <t>Customer_633</t>
  </si>
  <si>
    <t>Customer_634</t>
  </si>
  <si>
    <t>Customer_635</t>
  </si>
  <si>
    <t>Customer_636</t>
  </si>
  <si>
    <t>Customer_637</t>
  </si>
  <si>
    <t>Customer_638</t>
  </si>
  <si>
    <t>Customer_639</t>
  </si>
  <si>
    <t>Customer_640</t>
  </si>
  <si>
    <t>Customer_641</t>
  </si>
  <si>
    <t>Customer_642</t>
  </si>
  <si>
    <t>Customer_643</t>
  </si>
  <si>
    <t>Customer_644</t>
  </si>
  <si>
    <t>Customer_645</t>
  </si>
  <si>
    <t>Customer_646</t>
  </si>
  <si>
    <t>Customer_647</t>
  </si>
  <si>
    <t>Customer_648</t>
  </si>
  <si>
    <t>Customer_649</t>
  </si>
  <si>
    <t>Customer_650</t>
  </si>
  <si>
    <t>Customer_651</t>
  </si>
  <si>
    <t>Customer_652</t>
  </si>
  <si>
    <t>Customer_653</t>
  </si>
  <si>
    <t>Customer_654</t>
  </si>
  <si>
    <t>Customer_655</t>
  </si>
  <si>
    <t>Customer_656</t>
  </si>
  <si>
    <t>Customer_657</t>
  </si>
  <si>
    <t>Customer_658</t>
  </si>
  <si>
    <t>Customer_659</t>
  </si>
  <si>
    <t>Customer_660</t>
  </si>
  <si>
    <t>Customer_661</t>
  </si>
  <si>
    <t>Customer_662</t>
  </si>
  <si>
    <t>Customer_663</t>
  </si>
  <si>
    <t>Customer_664</t>
  </si>
  <si>
    <t>Customer_665</t>
  </si>
  <si>
    <t>Customer_666</t>
  </si>
  <si>
    <t>Customer_667</t>
  </si>
  <si>
    <t>Customer_668</t>
  </si>
  <si>
    <t>Customer_669</t>
  </si>
  <si>
    <t>Customer_670</t>
  </si>
  <si>
    <t>Customer_671</t>
  </si>
  <si>
    <t>Customer_672</t>
  </si>
  <si>
    <t>Customer_673</t>
  </si>
  <si>
    <t>Customer_674</t>
  </si>
  <si>
    <t>Customer_675</t>
  </si>
  <si>
    <t>Customer_676</t>
  </si>
  <si>
    <t>Customer_677</t>
  </si>
  <si>
    <t>Customer_678</t>
  </si>
  <si>
    <t>Customer_679</t>
  </si>
  <si>
    <t>Customer_680</t>
  </si>
  <si>
    <t>Customer_681</t>
  </si>
  <si>
    <t>Customer_682</t>
  </si>
  <si>
    <t>Customer_683</t>
  </si>
  <si>
    <t>Customer_684</t>
  </si>
  <si>
    <t>Customer_685</t>
  </si>
  <si>
    <t>Customer_686</t>
  </si>
  <si>
    <t>Customer_687</t>
  </si>
  <si>
    <t>Customer_688</t>
  </si>
  <si>
    <t>Customer_689</t>
  </si>
  <si>
    <t>Customer_690</t>
  </si>
  <si>
    <t>Customer_691</t>
  </si>
  <si>
    <t>Customer_692</t>
  </si>
  <si>
    <t>Customer_693</t>
  </si>
  <si>
    <t>Customer_694</t>
  </si>
  <si>
    <t>Customer_695</t>
  </si>
  <si>
    <t>Customer_696</t>
  </si>
  <si>
    <t>Customer_697</t>
  </si>
  <si>
    <t>Customer_698</t>
  </si>
  <si>
    <t>Customer_699</t>
  </si>
  <si>
    <t>Customer_700</t>
  </si>
  <si>
    <t>Customer_701</t>
  </si>
  <si>
    <t>Customer_702</t>
  </si>
  <si>
    <t>Customer_703</t>
  </si>
  <si>
    <t>Customer_704</t>
  </si>
  <si>
    <t>Customer_705</t>
  </si>
  <si>
    <t>Customer_706</t>
  </si>
  <si>
    <t>Customer_707</t>
  </si>
  <si>
    <t>Customer_708</t>
  </si>
  <si>
    <t>Customer_709</t>
  </si>
  <si>
    <t>Customer_710</t>
  </si>
  <si>
    <t>Customer_711</t>
  </si>
  <si>
    <t>Customer_712</t>
  </si>
  <si>
    <t>Customer_713</t>
  </si>
  <si>
    <t>Customer_714</t>
  </si>
  <si>
    <t>Customer_715</t>
  </si>
  <si>
    <t>Customer_716</t>
  </si>
  <si>
    <t>Customer_717</t>
  </si>
  <si>
    <t>Customer_718</t>
  </si>
  <si>
    <t>Customer_719</t>
  </si>
  <si>
    <t>Customer_720</t>
  </si>
  <si>
    <t>Customer_721</t>
  </si>
  <si>
    <t>Customer_722</t>
  </si>
  <si>
    <t>Customer_723</t>
  </si>
  <si>
    <t>Customer_724</t>
  </si>
  <si>
    <t>Customer_725</t>
  </si>
  <si>
    <t>Customer_726</t>
  </si>
  <si>
    <t>Customer_727</t>
  </si>
  <si>
    <t>Customer_728</t>
  </si>
  <si>
    <t>Customer_729</t>
  </si>
  <si>
    <t>Customer_730</t>
  </si>
  <si>
    <t>Customer_731</t>
  </si>
  <si>
    <t>Customer_732</t>
  </si>
  <si>
    <t>Customer_733</t>
  </si>
  <si>
    <t>Customer_734</t>
  </si>
  <si>
    <t>Customer_735</t>
  </si>
  <si>
    <t>Customer_736</t>
  </si>
  <si>
    <t>Customer_737</t>
  </si>
  <si>
    <t>Customer_738</t>
  </si>
  <si>
    <t>Customer_739</t>
  </si>
  <si>
    <t>Customer_740</t>
  </si>
  <si>
    <t>Customer_741</t>
  </si>
  <si>
    <t>Customer_742</t>
  </si>
  <si>
    <t>Customer_743</t>
  </si>
  <si>
    <t>Customer_744</t>
  </si>
  <si>
    <t>Customer_745</t>
  </si>
  <si>
    <t>Customer_746</t>
  </si>
  <si>
    <t>Customer_747</t>
  </si>
  <si>
    <t>Customer_748</t>
  </si>
  <si>
    <t>Customer_749</t>
  </si>
  <si>
    <t>Customer_750</t>
  </si>
  <si>
    <t>Customer_751</t>
  </si>
  <si>
    <t>Customer_752</t>
  </si>
  <si>
    <t>Customer_753</t>
  </si>
  <si>
    <t>Customer_754</t>
  </si>
  <si>
    <t>Customer_755</t>
  </si>
  <si>
    <t>Customer_756</t>
  </si>
  <si>
    <t>Customer_757</t>
  </si>
  <si>
    <t>Customer_758</t>
  </si>
  <si>
    <t>Customer_759</t>
  </si>
  <si>
    <t>Customer_760</t>
  </si>
  <si>
    <t>Customer_761</t>
  </si>
  <si>
    <t>Customer_762</t>
  </si>
  <si>
    <t>Customer_763</t>
  </si>
  <si>
    <t>Customer_764</t>
  </si>
  <si>
    <t>Customer_765</t>
  </si>
  <si>
    <t>Customer_766</t>
  </si>
  <si>
    <t>Customer_767</t>
  </si>
  <si>
    <t>Customer_768</t>
  </si>
  <si>
    <t>Customer_769</t>
  </si>
  <si>
    <t>Customer_770</t>
  </si>
  <si>
    <t>Customer_771</t>
  </si>
  <si>
    <t>Customer_772</t>
  </si>
  <si>
    <t>Customer_773</t>
  </si>
  <si>
    <t>Customer_774</t>
  </si>
  <si>
    <t>Customer_775</t>
  </si>
  <si>
    <t>Customer_776</t>
  </si>
  <si>
    <t>Customer_777</t>
  </si>
  <si>
    <t>Customer_778</t>
  </si>
  <si>
    <t>Customer_779</t>
  </si>
  <si>
    <t>Customer_780</t>
  </si>
  <si>
    <t>Customer_781</t>
  </si>
  <si>
    <t>Customer_782</t>
  </si>
  <si>
    <t>Customer_783</t>
  </si>
  <si>
    <t>Customer_784</t>
  </si>
  <si>
    <t>Customer_785</t>
  </si>
  <si>
    <t>Customer_786</t>
  </si>
  <si>
    <t>Customer_787</t>
  </si>
  <si>
    <t>Customer_788</t>
  </si>
  <si>
    <t>Customer_789</t>
  </si>
  <si>
    <t>Customer_790</t>
  </si>
  <si>
    <t>Customer_791</t>
  </si>
  <si>
    <t>Customer_792</t>
  </si>
  <si>
    <t>Customer_793</t>
  </si>
  <si>
    <t>Customer_794</t>
  </si>
  <si>
    <t>Customer_795</t>
  </si>
  <si>
    <t>Customer_796</t>
  </si>
  <si>
    <t>Customer_797</t>
  </si>
  <si>
    <t>Customer_798</t>
  </si>
  <si>
    <t>Customer_799</t>
  </si>
  <si>
    <t>Customer_800</t>
  </si>
  <si>
    <t>Student Questions</t>
  </si>
  <si>
    <t>2. Which product had the highest unit price?</t>
  </si>
  <si>
    <t>3. How many sales transactions were recorded in total?</t>
  </si>
  <si>
    <t>4. How many customers are Male vs Female?</t>
  </si>
  <si>
    <t>5. Which region recorded the most sales transactions?</t>
  </si>
  <si>
    <t>6. What is the total sales revenue for each Product Category?</t>
  </si>
  <si>
    <t>7. Which Salesperson made the highest sales in Q2 2025?</t>
  </si>
  <si>
    <t>8. Show monthly sales totals for April, May, and June 2025.</t>
  </si>
  <si>
    <t>9. What are the top 5 customers by sales value?</t>
  </si>
  <si>
    <t>10. Compare average sales per transaction between Male vs Female customers.</t>
  </si>
  <si>
    <t>11. Build a pivot table &amp; chart showing sales by Region and Product Category.</t>
  </si>
  <si>
    <t>12. Create a line chart showing daily sales trends across Q2 2025.</t>
  </si>
  <si>
    <t>13. Which region bought the most Electronics products?</t>
  </si>
  <si>
    <t>14. Calculate the average unit price of products in each category.</t>
  </si>
  <si>
    <t>15. Build a dashboard with: Total Q2 Sales, Sales by Gender, Sales by Region, Top 5 Products, Monthly Trend.</t>
  </si>
  <si>
    <t>17. Which product category generates the highest total profit?</t>
  </si>
  <si>
    <t>18. Which salesperson generated the highest profit overall?</t>
  </si>
  <si>
    <t>20. Identify the top 3 most profitable products.</t>
  </si>
  <si>
    <t>1. Calculate Total Sales for each transaction .</t>
  </si>
  <si>
    <t>19. Find the profit margin (%) for each product .</t>
  </si>
  <si>
    <t>16. Using the Cost Price column, calculate Profit for each transaction .</t>
  </si>
  <si>
    <t>Row Labels</t>
  </si>
  <si>
    <t>Grand Total</t>
  </si>
  <si>
    <t>Count of Gender</t>
  </si>
  <si>
    <t>Apr</t>
  </si>
  <si>
    <t>May</t>
  </si>
  <si>
    <t>Jun</t>
  </si>
  <si>
    <t>Count of Region</t>
  </si>
  <si>
    <t>total sales</t>
  </si>
  <si>
    <t>Sum of total sales</t>
  </si>
  <si>
    <t>Average of total sales</t>
  </si>
  <si>
    <t>Average of Unit Price (NGN)</t>
  </si>
  <si>
    <t>calculating for total cost</t>
  </si>
  <si>
    <t>total number of transactions</t>
  </si>
  <si>
    <t>product with highest unit price</t>
  </si>
  <si>
    <t>xx no electronic products found</t>
  </si>
  <si>
    <t>PROFIT MARGIN</t>
  </si>
  <si>
    <t>PROFIT</t>
  </si>
  <si>
    <t>Sum of PROFIT</t>
  </si>
  <si>
    <t>Max of Unit Price (NGN)</t>
  </si>
  <si>
    <t>NUMBER 2</t>
  </si>
  <si>
    <t>Count of Customer Name</t>
  </si>
  <si>
    <t>NUMBER 3</t>
  </si>
  <si>
    <t>NUMBER 4</t>
  </si>
  <si>
    <t>NUMBER 5</t>
  </si>
  <si>
    <t>NUMBER 6</t>
  </si>
  <si>
    <t>NUMBER 7</t>
  </si>
  <si>
    <t>NUMBER 8</t>
  </si>
  <si>
    <t>NUMBER 9</t>
  </si>
  <si>
    <t>NUMBER 10</t>
  </si>
  <si>
    <t>NUMBER 11</t>
  </si>
  <si>
    <t>XX</t>
  </si>
  <si>
    <t>NUMBER 20</t>
  </si>
  <si>
    <t>Average of PROFIT MARGIN</t>
  </si>
  <si>
    <t>NUMBER 19</t>
  </si>
  <si>
    <t>NUMBER 18</t>
  </si>
  <si>
    <t>NUMBER 17</t>
  </si>
  <si>
    <t>COST PRICE</t>
  </si>
  <si>
    <t>NUMBER 14</t>
  </si>
  <si>
    <t>Daily trend</t>
  </si>
  <si>
    <t>product total sales</t>
  </si>
  <si>
    <t>01-Apr</t>
  </si>
  <si>
    <t>01-May</t>
  </si>
  <si>
    <t>01-Jun</t>
  </si>
  <si>
    <t>02-Apr</t>
  </si>
  <si>
    <t>02-May</t>
  </si>
  <si>
    <t>02-Jun</t>
  </si>
  <si>
    <t>03-Apr</t>
  </si>
  <si>
    <t>03-May</t>
  </si>
  <si>
    <t>03-Jun</t>
  </si>
  <si>
    <t>04-Apr</t>
  </si>
  <si>
    <t>04-May</t>
  </si>
  <si>
    <t>04-Jun</t>
  </si>
  <si>
    <t>05-Apr</t>
  </si>
  <si>
    <t>05-May</t>
  </si>
  <si>
    <t>05-Jun</t>
  </si>
  <si>
    <t>06-Apr</t>
  </si>
  <si>
    <t>06-May</t>
  </si>
  <si>
    <t>06-Jun</t>
  </si>
  <si>
    <t>07-Apr</t>
  </si>
  <si>
    <t>07-May</t>
  </si>
  <si>
    <t>07-Jun</t>
  </si>
  <si>
    <t>08-Apr</t>
  </si>
  <si>
    <t>08-May</t>
  </si>
  <si>
    <t>08-Jun</t>
  </si>
  <si>
    <t>09-Apr</t>
  </si>
  <si>
    <t>09-May</t>
  </si>
  <si>
    <t>09-Jun</t>
  </si>
  <si>
    <t>10-Apr</t>
  </si>
  <si>
    <t>10-May</t>
  </si>
  <si>
    <t>10-Jun</t>
  </si>
  <si>
    <t>11-Apr</t>
  </si>
  <si>
    <t>11-May</t>
  </si>
  <si>
    <t>11-Jun</t>
  </si>
  <si>
    <t>12-Apr</t>
  </si>
  <si>
    <t>12-May</t>
  </si>
  <si>
    <t>12-Jun</t>
  </si>
  <si>
    <t>13-Apr</t>
  </si>
  <si>
    <t>13-May</t>
  </si>
  <si>
    <t>13-Jun</t>
  </si>
  <si>
    <t>14-Apr</t>
  </si>
  <si>
    <t>14-May</t>
  </si>
  <si>
    <t>14-Jun</t>
  </si>
  <si>
    <t>15-Apr</t>
  </si>
  <si>
    <t>15-May</t>
  </si>
  <si>
    <t>15-Jun</t>
  </si>
  <si>
    <t>16-Apr</t>
  </si>
  <si>
    <t>16-May</t>
  </si>
  <si>
    <t>16-Jun</t>
  </si>
  <si>
    <t>17-Apr</t>
  </si>
  <si>
    <t>17-May</t>
  </si>
  <si>
    <t>17-Jun</t>
  </si>
  <si>
    <t>18-Apr</t>
  </si>
  <si>
    <t>18-May</t>
  </si>
  <si>
    <t>18-Jun</t>
  </si>
  <si>
    <t>19-Apr</t>
  </si>
  <si>
    <t>19-May</t>
  </si>
  <si>
    <t>19-Jun</t>
  </si>
  <si>
    <t>20-Apr</t>
  </si>
  <si>
    <t>20-May</t>
  </si>
  <si>
    <t>20-Jun</t>
  </si>
  <si>
    <t>21-Apr</t>
  </si>
  <si>
    <t>21-May</t>
  </si>
  <si>
    <t>21-Jun</t>
  </si>
  <si>
    <t>22-Apr</t>
  </si>
  <si>
    <t>22-May</t>
  </si>
  <si>
    <t>22-Jun</t>
  </si>
  <si>
    <t>23-Apr</t>
  </si>
  <si>
    <t>23-May</t>
  </si>
  <si>
    <t>23-Jun</t>
  </si>
  <si>
    <t>24-Apr</t>
  </si>
  <si>
    <t>24-May</t>
  </si>
  <si>
    <t>24-Jun</t>
  </si>
  <si>
    <t>25-Apr</t>
  </si>
  <si>
    <t>25-May</t>
  </si>
  <si>
    <t>25-Jun</t>
  </si>
  <si>
    <t>26-Apr</t>
  </si>
  <si>
    <t>26-May</t>
  </si>
  <si>
    <t>26-Jun</t>
  </si>
  <si>
    <t>27-Apr</t>
  </si>
  <si>
    <t>27-May</t>
  </si>
  <si>
    <t>27-Jun</t>
  </si>
  <si>
    <t>28-Apr</t>
  </si>
  <si>
    <t>28-May</t>
  </si>
  <si>
    <t>28-Jun</t>
  </si>
  <si>
    <t>29-Apr</t>
  </si>
  <si>
    <t>29-May</t>
  </si>
  <si>
    <t>29-Jun</t>
  </si>
  <si>
    <t>30-Apr</t>
  </si>
  <si>
    <t>30-May</t>
  </si>
  <si>
    <t>30-Jun</t>
  </si>
  <si>
    <t>31-May</t>
  </si>
  <si>
    <t>NUMBER 12</t>
  </si>
  <si>
    <t>Sum of COST PRICE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</si>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</sst>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43" formatCode="_-* #,##0.00_-;\-* #,##0.00_-;_-* &quot;-&quot;??_-;_-@_-"/>
    <numFmt numFmtId="164" formatCode="_-[$₦-46A]* #,##0.00_-;\-[$₦-46A]* #,##0.00_-;_-[$₦-46A]* &quot;-&quot;??_-;_-@_-"/>
    <numFmt numFmtId="165" formatCode="_-[$₦-469]\ * #,##0.00_-;\-[$₦-469]\ * #,##0.00_-;_-[$₦-469]\ * &quot;-&quot;??_-;_-@_-"/>
    <numFmt numFmtId="166" formatCode="_-[$₦-46A]* #,##0_-;\-[$₦-46A]* #,##0_-;_-[$₦-46A]* &quot;-&quot;??_-;_-@_-"/>
  </numFmts>
  <fonts count="4" x14ac:knownFonts="1">
    <font>
      <sz val="11"/>
      <color theme="1"/>
      <name val="Calibri"/>
      <family val="2"/>
      <scheme val="minor"/>
    </font>
    <font>
      <b/>
      <sz val="11"/>
      <name val="Calibri"/>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1A1723"/>
        <bgColor indexed="64"/>
      </patternFill>
    </fill>
    <fill>
      <patternFill patternType="solid">
        <fgColor theme="6" tint="0.59999389629810485"/>
        <bgColor theme="6" tint="0.59999389629810485"/>
      </patternFill>
    </fill>
  </fills>
  <borders count="12">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theme="0"/>
      </left>
      <right style="thin">
        <color theme="0"/>
      </right>
      <top style="thin">
        <color theme="0"/>
      </top>
      <bottom style="thin">
        <color theme="0"/>
      </bottom>
      <diagonal/>
    </border>
  </borders>
  <cellStyleXfs count="4">
    <xf numFmtId="0" fontId="0" fillId="0" borderId="0"/>
    <xf numFmtId="9"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2" fontId="0" fillId="0" borderId="0" xfId="0" applyNumberFormat="1"/>
    <xf numFmtId="2" fontId="0" fillId="0" borderId="0" xfId="1" applyNumberFormat="1" applyFont="1"/>
    <xf numFmtId="0" fontId="0" fillId="0" borderId="0" xfId="0" applyAlignment="1">
      <alignment horizontal="left" indent="1"/>
    </xf>
    <xf numFmtId="165" fontId="0" fillId="0" borderId="0" xfId="0" applyNumberFormat="1"/>
    <xf numFmtId="0" fontId="0" fillId="2" borderId="0" xfId="0" applyFill="1"/>
    <xf numFmtId="166" fontId="0" fillId="0" borderId="0" xfId="0" applyNumberFormat="1"/>
    <xf numFmtId="166" fontId="0" fillId="0" borderId="0" xfId="0" quotePrefix="1"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4" fontId="0" fillId="0" borderId="0" xfId="2" applyNumberFormat="1" applyFont="1"/>
    <xf numFmtId="164" fontId="0" fillId="0" borderId="0" xfId="3" applyNumberFormat="1" applyFont="1"/>
    <xf numFmtId="164" fontId="0" fillId="3" borderId="11" xfId="0" applyNumberFormat="1" applyFill="1" applyBorder="1"/>
    <xf numFmtId="44" fontId="0" fillId="0" borderId="0" xfId="0" applyNumberFormat="1"/>
  </cellXfs>
  <cellStyles count="4">
    <cellStyle name="Comma" xfId="2" builtinId="3"/>
    <cellStyle name="Currency" xfId="3" builtinId="4"/>
    <cellStyle name="Normal" xfId="0" builtinId="0"/>
    <cellStyle name="Percent" xfId="1" builtinId="5"/>
  </cellStyles>
  <dxfs count="20">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165" formatCode="_-[$₦-469]\ * #,##0.00_-;\-[$₦-469]\ * #,##0.00_-;_-[$₦-469]\ * &quot;-&quot;??_-;_-@_-"/>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164" formatCode="_-[$₦-46A]* #,##0.00_-;\-[$₦-46A]* #,##0.00_-;_-[$₦-46A]* &quot;-&quot;??_-;_-@_-"/>
    </dxf>
    <dxf>
      <numFmt numFmtId="19" formatCode="dd/mm/yyyy"/>
    </dxf>
    <dxf>
      <font>
        <b/>
        <color theme="1"/>
      </font>
      <border>
        <bottom style="thin">
          <color theme="7"/>
        </bottom>
        <vertical/>
        <horizontal/>
      </border>
    </dxf>
    <dxf>
      <font>
        <color theme="1"/>
      </font>
      <fill>
        <patternFill>
          <fgColor rgb="FFFF00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fgColor theme="1"/>
        </patternFill>
      </fill>
      <border>
        <left style="thin">
          <color theme="7"/>
        </left>
        <right style="thin">
          <color theme="7"/>
        </right>
        <top style="thin">
          <color theme="7"/>
        </top>
        <bottom style="thin">
          <color theme="7"/>
        </bottom>
        <vertical/>
        <horizontal/>
      </border>
    </dxf>
    <dxf>
      <font>
        <color theme="0"/>
      </font>
      <fill>
        <patternFill>
          <bgColor theme="1"/>
        </patternFill>
      </fill>
    </dxf>
    <dxf>
      <font>
        <b/>
        <i val="0"/>
        <color theme="0"/>
      </font>
      <fill>
        <patternFill>
          <bgColor theme="1"/>
        </patternFill>
      </fill>
      <border diagonalUp="0" diagonalDown="0">
        <left/>
        <right/>
        <top/>
        <bottom/>
        <vertical/>
        <horizontal/>
      </border>
    </dxf>
  </dxfs>
  <tableStyles count="4" defaultTableStyle="TableStyleMedium9" defaultPivotStyle="PivotStyleLight16">
    <tableStyle name="Invisible" pivot="0" table="0" count="0" xr9:uid="{4118E56A-0345-438C-AE53-FD2D8C6A2EE0}"/>
    <tableStyle name="Slicer Style 1" pivot="0" table="0" count="6" xr9:uid="{960EA48D-AE13-49C7-B4AB-869042852D12}">
      <tableStyleElement type="wholeTable" dxfId="19"/>
      <tableStyleElement type="headerRow" dxfId="18"/>
    </tableStyle>
    <tableStyle name="SlicerStyleDark4 2" pivot="0" table="0" count="10" xr9:uid="{EA839028-31F4-4749-A548-B7CCE6B51229}">
      <tableStyleElement type="wholeTable" dxfId="17"/>
      <tableStyleElement type="headerRow" dxfId="16"/>
    </tableStyle>
    <tableStyle name="SlicerStyleDark4 2 2" pivot="0" table="0" count="10" xr9:uid="{42505118-0F69-4653-A8B3-A61DF6298317}">
      <tableStyleElement type="wholeTable" dxfId="15"/>
      <tableStyleElement type="headerRow" dxfId="14"/>
    </tableStyle>
  </tableStyles>
  <colors>
    <mruColors>
      <color rgb="FF6B3FA0"/>
      <color rgb="FF0C0B10"/>
      <color rgb="FF1A1723"/>
      <color rgb="FFB085F5"/>
      <color rgb="FF6CABDD"/>
      <color rgb="FF147A77"/>
      <color rgb="FF0F4C4A"/>
      <color rgb="FFD4A373"/>
      <color rgb="FFF7F7F5"/>
      <color rgb="FFFDB913"/>
    </mruColors>
  </color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1"/>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1"/>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1"/>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theme="1"/>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1"/>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7" tint="-0.24994659260841701"/>
            </patternFill>
          </fill>
        </dxf>
        <dxf>
          <fill>
            <patternFill>
              <bgColor rgb="FF7030A0"/>
            </patternFill>
          </fill>
        </dxf>
        <dxf>
          <fill>
            <patternFill>
              <bgColor rgb="FF7030A0"/>
            </patternFill>
          </fill>
        </dxf>
        <dxf>
          <fill>
            <patternFill>
              <bgColor theme="7"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9"/>
            <x14:slicerStyleElement type="selectedItemWithData" dxfId="18"/>
            <x14:slicerStyleElement type="hoveredUnselectedItemWithData" dxfId="17"/>
            <x14:slicerStyleElement type="hoveredSelectedItemWithData" dxfId="16"/>
          </x14:slicerStyleElements>
        </x14:slicerStyle>
        <x14:slicerStyle name="SlicerStyleDark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left).xlsx]pivot!PivotTable8</c:name>
    <c:fmtId val="20"/>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pivotFmt>
      <c:pivotFmt>
        <c:idx val="3"/>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pivotFmt>
      <c:pivotFmt>
        <c:idx val="4"/>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9000">
                <a:srgbClr val="B085F5"/>
              </a:gs>
              <a:gs pos="100000">
                <a:schemeClr val="accent1">
                  <a:lumMod val="45000"/>
                  <a:lumOff val="55000"/>
                </a:schemeClr>
              </a:gs>
              <a:gs pos="0">
                <a:srgbClr val="6B3FA0"/>
              </a:gs>
            </a:gsLst>
            <a:lin ang="5400000" scaled="1"/>
          </a:gradFill>
          <a:ln>
            <a:noFill/>
          </a:ln>
          <a:effectLst/>
          <a:sp3d/>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pivot!$G$9</c:f>
              <c:strCache>
                <c:ptCount val="1"/>
                <c:pt idx="0">
                  <c:v>Total</c:v>
                </c:pt>
              </c:strCache>
            </c:strRef>
          </c:tx>
          <c:spPr>
            <a:gradFill>
              <a:gsLst>
                <a:gs pos="9000">
                  <a:srgbClr val="B085F5"/>
                </a:gs>
                <a:gs pos="100000">
                  <a:schemeClr val="accent1">
                    <a:lumMod val="45000"/>
                    <a:lumOff val="55000"/>
                  </a:schemeClr>
                </a:gs>
                <a:gs pos="0">
                  <a:srgbClr val="6B3FA0"/>
                </a:gs>
              </a:gsLst>
              <a:lin ang="5400000" scaled="1"/>
            </a:gradFill>
            <a:ln>
              <a:noFill/>
            </a:ln>
            <a:effectLst/>
            <a:sp3d/>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pivot!$F$10:$F$14</c:f>
              <c:strCache>
                <c:ptCount val="5"/>
                <c:pt idx="0">
                  <c:v>Lagos</c:v>
                </c:pt>
                <c:pt idx="1">
                  <c:v>Port Harcourt</c:v>
                </c:pt>
                <c:pt idx="2">
                  <c:v>Abuja</c:v>
                </c:pt>
                <c:pt idx="3">
                  <c:v>Ibadan</c:v>
                </c:pt>
                <c:pt idx="4">
                  <c:v>Kano</c:v>
                </c:pt>
              </c:strCache>
            </c:strRef>
          </c:cat>
          <c:val>
            <c:numRef>
              <c:f>pivot!$G$10:$G$14</c:f>
              <c:numCache>
                <c:formatCode>_-[$₦-46A]* #,##0.00_-;\-[$₦-46A]* #,##0.00_-;_-[$₦-46A]* "-"??_-;_-@_-</c:formatCode>
                <c:ptCount val="5"/>
                <c:pt idx="0">
                  <c:v>7682927</c:v>
                </c:pt>
                <c:pt idx="1">
                  <c:v>7629861</c:v>
                </c:pt>
                <c:pt idx="2">
                  <c:v>7306128</c:v>
                </c:pt>
                <c:pt idx="3">
                  <c:v>7147173</c:v>
                </c:pt>
                <c:pt idx="4">
                  <c:v>6247986</c:v>
                </c:pt>
              </c:numCache>
            </c:numRef>
          </c:val>
          <c:extLst>
            <c:ext xmlns:c16="http://schemas.microsoft.com/office/drawing/2014/chart" uri="{C3380CC4-5D6E-409C-BE32-E72D297353CC}">
              <c16:uniqueId val="{00000000-E5B7-4FA8-826F-1CC9A1DA2F20}"/>
            </c:ext>
          </c:extLst>
        </c:ser>
        <c:dLbls>
          <c:showLegendKey val="0"/>
          <c:showVal val="1"/>
          <c:showCatName val="0"/>
          <c:showSerName val="0"/>
          <c:showPercent val="0"/>
          <c:showBubbleSize val="0"/>
        </c:dLbls>
        <c:gapWidth val="150"/>
        <c:shape val="box"/>
        <c:axId val="1167220863"/>
        <c:axId val="1167204543"/>
        <c:axId val="0"/>
      </c:bar3DChart>
      <c:catAx>
        <c:axId val="1167220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167204543"/>
        <c:crosses val="autoZero"/>
        <c:auto val="1"/>
        <c:lblAlgn val="ctr"/>
        <c:lblOffset val="100"/>
        <c:noMultiLvlLbl val="0"/>
      </c:catAx>
      <c:valAx>
        <c:axId val="1167204543"/>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167220863"/>
        <c:crosses val="autoZero"/>
        <c:crossBetween val="between"/>
      </c:valAx>
      <c:spPr>
        <a:solidFill>
          <a:srgbClr val="1A1723"/>
        </a:solid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left).xlsx]pivot!PivotTable14</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GB"/>
              <a:t>Top 5 Customers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solidFill>
              <a:srgbClr val="F7F7F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solidFill>
              <a:srgbClr val="F7F7F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solidFill>
              <a:srgbClr val="F7F7F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solidFill>
              <a:srgbClr val="F7F7F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000">
                <a:srgbClr val="B085F5"/>
              </a:gs>
              <a:gs pos="100000">
                <a:schemeClr val="accent1">
                  <a:lumMod val="45000"/>
                  <a:lumOff val="55000"/>
                </a:schemeClr>
              </a:gs>
              <a:gs pos="0">
                <a:srgbClr val="6B3FA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123002601263472E-2"/>
          <c:y val="0.30880063501443461"/>
          <c:w val="0.8093377135496701"/>
          <c:h val="0.36044090206764878"/>
        </c:manualLayout>
      </c:layout>
      <c:bar3DChart>
        <c:barDir val="col"/>
        <c:grouping val="stacked"/>
        <c:varyColors val="0"/>
        <c:ser>
          <c:idx val="0"/>
          <c:order val="0"/>
          <c:tx>
            <c:strRef>
              <c:f>pivot!$I$24</c:f>
              <c:strCache>
                <c:ptCount val="1"/>
                <c:pt idx="0">
                  <c:v>Total</c:v>
                </c:pt>
              </c:strCache>
            </c:strRef>
          </c:tx>
          <c:spPr>
            <a:gradFill>
              <a:gsLst>
                <a:gs pos="9000">
                  <a:srgbClr val="B085F5"/>
                </a:gs>
                <a:gs pos="100000">
                  <a:schemeClr val="accent1">
                    <a:lumMod val="45000"/>
                    <a:lumOff val="55000"/>
                  </a:schemeClr>
                </a:gs>
                <a:gs pos="0">
                  <a:srgbClr val="6B3FA0"/>
                </a:gs>
              </a:gsLst>
              <a:lin ang="5400000" scaled="1"/>
            </a:gradFill>
            <a:ln>
              <a:noFill/>
            </a:ln>
            <a:effectLst/>
            <a:sp3d/>
          </c:spPr>
          <c:invertIfNegative val="0"/>
          <c:cat>
            <c:strRef>
              <c:f>pivot!$H$25:$H$30</c:f>
              <c:strCache>
                <c:ptCount val="5"/>
                <c:pt idx="0">
                  <c:v>Customer_618</c:v>
                </c:pt>
                <c:pt idx="1">
                  <c:v>Customer_555</c:v>
                </c:pt>
                <c:pt idx="2">
                  <c:v>Customer_624</c:v>
                </c:pt>
                <c:pt idx="3">
                  <c:v>Customer_83</c:v>
                </c:pt>
                <c:pt idx="4">
                  <c:v>Customer_588</c:v>
                </c:pt>
              </c:strCache>
            </c:strRef>
          </c:cat>
          <c:val>
            <c:numRef>
              <c:f>pivot!$I$25:$I$30</c:f>
              <c:numCache>
                <c:formatCode>_-[$₦-46A]* #,##0.00_-;\-[$₦-46A]* #,##0.00_-;_-[$₦-46A]* "-"??_-;_-@_-</c:formatCode>
                <c:ptCount val="5"/>
                <c:pt idx="0">
                  <c:v>142704</c:v>
                </c:pt>
                <c:pt idx="1">
                  <c:v>141365</c:v>
                </c:pt>
                <c:pt idx="2">
                  <c:v>137690</c:v>
                </c:pt>
                <c:pt idx="3">
                  <c:v>136758</c:v>
                </c:pt>
                <c:pt idx="4">
                  <c:v>134504</c:v>
                </c:pt>
              </c:numCache>
            </c:numRef>
          </c:val>
          <c:extLst>
            <c:ext xmlns:c16="http://schemas.microsoft.com/office/drawing/2014/chart" uri="{C3380CC4-5D6E-409C-BE32-E72D297353CC}">
              <c16:uniqueId val="{00000000-4E59-4694-90DF-CF37EFD5AFD9}"/>
            </c:ext>
          </c:extLst>
        </c:ser>
        <c:dLbls>
          <c:showLegendKey val="0"/>
          <c:showVal val="0"/>
          <c:showCatName val="0"/>
          <c:showSerName val="0"/>
          <c:showPercent val="0"/>
          <c:showBubbleSize val="0"/>
        </c:dLbls>
        <c:gapWidth val="150"/>
        <c:shape val="box"/>
        <c:axId val="1525340623"/>
        <c:axId val="1868225391"/>
        <c:axId val="0"/>
      </c:bar3DChart>
      <c:catAx>
        <c:axId val="1525340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8225391"/>
        <c:crosses val="autoZero"/>
        <c:auto val="1"/>
        <c:lblAlgn val="ctr"/>
        <c:lblOffset val="100"/>
        <c:noMultiLvlLbl val="0"/>
      </c:catAx>
      <c:valAx>
        <c:axId val="1868225391"/>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2534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left).xlsx]pivot!PivotTable1</c:name>
    <c:fmtId val="5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Male vs Female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F4C4A"/>
          </a:solidFill>
          <a:ln w="19050">
            <a:solidFill>
              <a:schemeClr val="lt1"/>
            </a:solidFill>
          </a:ln>
          <a:effectLst/>
        </c:spPr>
      </c:pivotFmt>
      <c:pivotFmt>
        <c:idx val="3"/>
        <c:spPr>
          <a:solidFill>
            <a:srgbClr val="FFC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F4C4A"/>
          </a:solidFill>
          <a:ln w="19050">
            <a:solidFill>
              <a:schemeClr val="lt1"/>
            </a:solidFill>
          </a:ln>
          <a:effectLst/>
        </c:spPr>
      </c:pivotFmt>
      <c:pivotFmt>
        <c:idx val="6"/>
        <c:spPr>
          <a:solidFill>
            <a:srgbClr val="FFC000"/>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F4C4A"/>
          </a:solidFill>
          <a:ln w="19050">
            <a:solidFill>
              <a:schemeClr val="lt1"/>
            </a:solidFill>
          </a:ln>
          <a:effectLst/>
        </c:spPr>
      </c:pivotFmt>
      <c:pivotFmt>
        <c:idx val="9"/>
        <c:spPr>
          <a:solidFill>
            <a:schemeClr val="tx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F4C4A"/>
          </a:solidFill>
          <a:ln w="19050">
            <a:solidFill>
              <a:schemeClr val="lt1"/>
            </a:solidFill>
          </a:ln>
          <a:effectLst/>
        </c:spPr>
      </c:pivotFmt>
      <c:pivotFmt>
        <c:idx val="12"/>
        <c:spPr>
          <a:solidFill>
            <a:schemeClr val="tx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9000">
                <a:srgbClr val="B085F5"/>
              </a:gs>
              <a:gs pos="100000">
                <a:schemeClr val="accent1">
                  <a:lumMod val="45000"/>
                  <a:lumOff val="55000"/>
                </a:schemeClr>
              </a:gs>
              <a:gs pos="0">
                <a:srgbClr val="6B3FA0"/>
              </a:gs>
            </a:gsLst>
            <a:lin ang="5400000" scaled="1"/>
          </a:gradFill>
          <a:ln w="19050">
            <a:solidFill>
              <a:schemeClr val="lt1"/>
            </a:solidFill>
          </a:ln>
          <a:effectLst/>
        </c:spPr>
      </c:pivotFmt>
      <c:pivotFmt>
        <c:idx val="15"/>
        <c:spPr>
          <a:solidFill>
            <a:schemeClr val="tx1"/>
          </a:solidFill>
          <a:ln w="19050">
            <a:solidFill>
              <a:schemeClr val="lt1"/>
            </a:solidFill>
          </a:ln>
          <a:effectLst/>
        </c:spPr>
      </c:pivotFmt>
    </c:pivotFmts>
    <c:plotArea>
      <c:layout/>
      <c:pieChart>
        <c:varyColors val="1"/>
        <c:ser>
          <c:idx val="0"/>
          <c:order val="0"/>
          <c:tx>
            <c:strRef>
              <c:f>pivot!$B$3</c:f>
              <c:strCache>
                <c:ptCount val="1"/>
                <c:pt idx="0">
                  <c:v>Total</c:v>
                </c:pt>
              </c:strCache>
            </c:strRef>
          </c:tx>
          <c:dPt>
            <c:idx val="0"/>
            <c:bubble3D val="0"/>
            <c:spPr>
              <a:gradFill>
                <a:gsLst>
                  <a:gs pos="9000">
                    <a:srgbClr val="B085F5"/>
                  </a:gs>
                  <a:gs pos="100000">
                    <a:schemeClr val="accent1">
                      <a:lumMod val="45000"/>
                      <a:lumOff val="55000"/>
                    </a:schemeClr>
                  </a:gs>
                  <a:gs pos="0">
                    <a:srgbClr val="6B3FA0"/>
                  </a:gs>
                </a:gsLst>
                <a:lin ang="5400000" scaled="1"/>
              </a:gradFill>
              <a:ln w="19050">
                <a:solidFill>
                  <a:schemeClr val="lt1"/>
                </a:solidFill>
              </a:ln>
              <a:effectLst/>
            </c:spPr>
            <c:extLst>
              <c:ext xmlns:c16="http://schemas.microsoft.com/office/drawing/2014/chart" uri="{C3380CC4-5D6E-409C-BE32-E72D297353CC}">
                <c16:uniqueId val="{00000001-4BD4-4CE7-B3AA-E9BE4593B3A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4BD4-4CE7-B3AA-E9BE4593B3A3}"/>
              </c:ext>
            </c:extLst>
          </c:dPt>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pivot!$A$4:$A$5</c:f>
              <c:strCache>
                <c:ptCount val="2"/>
                <c:pt idx="0">
                  <c:v>Female</c:v>
                </c:pt>
                <c:pt idx="1">
                  <c:v>Male</c:v>
                </c:pt>
              </c:strCache>
            </c:strRef>
          </c:cat>
          <c:val>
            <c:numRef>
              <c:f>pivot!$B$4:$B$5</c:f>
              <c:numCache>
                <c:formatCode>General</c:formatCode>
                <c:ptCount val="2"/>
                <c:pt idx="0">
                  <c:v>385</c:v>
                </c:pt>
                <c:pt idx="1">
                  <c:v>415</c:v>
                </c:pt>
              </c:numCache>
            </c:numRef>
          </c:val>
          <c:extLst>
            <c:ext xmlns:c16="http://schemas.microsoft.com/office/drawing/2014/chart" uri="{C3380CC4-5D6E-409C-BE32-E72D297353CC}">
              <c16:uniqueId val="{00000004-4BD4-4CE7-B3AA-E9BE4593B3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left).xlsx]pivot!PivotTable2</c:name>
    <c:fmtId val="5"/>
  </c:pivotSource>
  <c:chart>
    <c:title>
      <c:tx>
        <c:rich>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r>
              <a:rPr lang="en-US"/>
              <a:t>Region with the most transaction</a:t>
            </a:r>
          </a:p>
          <a:p>
            <a:pPr>
              <a:defRPr/>
            </a:pPr>
            <a:endParaRPr lang="en-US"/>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47A77"/>
          </a:solidFill>
          <a:ln>
            <a:noFill/>
          </a:ln>
          <a:effectLst/>
          <a:sp3d/>
        </c:spPr>
        <c:marker>
          <c:symbol val="none"/>
        </c:marker>
        <c:dLbl>
          <c:idx val="0"/>
          <c:spPr>
            <a:solidFill>
              <a:schemeClr val="bg1"/>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47A77"/>
          </a:solidFill>
          <a:ln>
            <a:noFill/>
          </a:ln>
          <a:effectLst/>
          <a:sp3d/>
        </c:spPr>
        <c:marker>
          <c:symbol val="none"/>
        </c:marker>
        <c:dLbl>
          <c:idx val="0"/>
          <c:spPr>
            <a:solidFill>
              <a:schemeClr val="bg1"/>
            </a:solid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9000">
                <a:srgbClr val="B085F5"/>
              </a:gs>
              <a:gs pos="100000">
                <a:schemeClr val="accent1">
                  <a:lumMod val="45000"/>
                  <a:lumOff val="55000"/>
                </a:schemeClr>
              </a:gs>
              <a:gs pos="0">
                <a:srgbClr val="6B3FA0"/>
              </a:gs>
            </a:gsLst>
            <a:lin ang="5400000" scaled="1"/>
          </a:gradFill>
          <a:ln>
            <a:noFill/>
          </a:ln>
          <a:effectLst/>
          <a:sp3d/>
        </c:spPr>
        <c:marker>
          <c:symbol val="none"/>
        </c:marker>
        <c:dLbl>
          <c:idx val="0"/>
          <c:spPr>
            <a:solidFill>
              <a:srgbClr val="0C0B10"/>
            </a:solid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pivot!$C$12</c:f>
              <c:strCache>
                <c:ptCount val="1"/>
                <c:pt idx="0">
                  <c:v>Total</c:v>
                </c:pt>
              </c:strCache>
            </c:strRef>
          </c:tx>
          <c:spPr>
            <a:gradFill>
              <a:gsLst>
                <a:gs pos="9000">
                  <a:srgbClr val="B085F5"/>
                </a:gs>
                <a:gs pos="100000">
                  <a:schemeClr val="accent1">
                    <a:lumMod val="45000"/>
                    <a:lumOff val="55000"/>
                  </a:schemeClr>
                </a:gs>
                <a:gs pos="0">
                  <a:srgbClr val="6B3FA0"/>
                </a:gs>
              </a:gsLst>
              <a:lin ang="5400000" scaled="1"/>
            </a:gradFill>
            <a:ln>
              <a:noFill/>
            </a:ln>
            <a:effectLst/>
            <a:sp3d/>
          </c:spPr>
          <c:invertIfNegative val="0"/>
          <c:dLbls>
            <c:spPr>
              <a:solidFill>
                <a:srgbClr val="0C0B10"/>
              </a:solid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pivot!$B$13:$B$17</c:f>
              <c:strCache>
                <c:ptCount val="5"/>
                <c:pt idx="0">
                  <c:v>Port Harcourt</c:v>
                </c:pt>
                <c:pt idx="1">
                  <c:v>Abuja</c:v>
                </c:pt>
                <c:pt idx="2">
                  <c:v>Ibadan</c:v>
                </c:pt>
                <c:pt idx="3">
                  <c:v>Lagos</c:v>
                </c:pt>
                <c:pt idx="4">
                  <c:v>Kano</c:v>
                </c:pt>
              </c:strCache>
            </c:strRef>
          </c:cat>
          <c:val>
            <c:numRef>
              <c:f>pivot!$C$13:$C$17</c:f>
              <c:numCache>
                <c:formatCode>General</c:formatCode>
                <c:ptCount val="5"/>
                <c:pt idx="0">
                  <c:v>178</c:v>
                </c:pt>
                <c:pt idx="1">
                  <c:v>164</c:v>
                </c:pt>
                <c:pt idx="2">
                  <c:v>157</c:v>
                </c:pt>
                <c:pt idx="3">
                  <c:v>153</c:v>
                </c:pt>
                <c:pt idx="4">
                  <c:v>148</c:v>
                </c:pt>
              </c:numCache>
            </c:numRef>
          </c:val>
          <c:extLst>
            <c:ext xmlns:c16="http://schemas.microsoft.com/office/drawing/2014/chart" uri="{C3380CC4-5D6E-409C-BE32-E72D297353CC}">
              <c16:uniqueId val="{00000000-871D-4F5D-B6F5-05D3AD0D4EC7}"/>
            </c:ext>
          </c:extLst>
        </c:ser>
        <c:dLbls>
          <c:showLegendKey val="0"/>
          <c:showVal val="1"/>
          <c:showCatName val="0"/>
          <c:showSerName val="0"/>
          <c:showPercent val="0"/>
          <c:showBubbleSize val="0"/>
        </c:dLbls>
        <c:gapWidth val="150"/>
        <c:shape val="box"/>
        <c:axId val="1914236783"/>
        <c:axId val="1726795039"/>
        <c:axId val="2074529007"/>
      </c:bar3DChart>
      <c:catAx>
        <c:axId val="1914236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726795039"/>
        <c:crosses val="autoZero"/>
        <c:auto val="1"/>
        <c:lblAlgn val="ctr"/>
        <c:lblOffset val="100"/>
        <c:noMultiLvlLbl val="0"/>
      </c:catAx>
      <c:valAx>
        <c:axId val="172679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914236783"/>
        <c:crosses val="autoZero"/>
        <c:crossBetween val="between"/>
      </c:valAx>
      <c:serAx>
        <c:axId val="207452900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726795039"/>
        <c:crosses val="autoZero"/>
      </c:serAx>
      <c:spPr>
        <a:solidFill>
          <a:srgbClr val="1A1723"/>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left).xlsx]pivot!PivotTable12</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Top category with most revenue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82200942419029"/>
          <c:y val="0.27775745133656499"/>
          <c:w val="0.81732949112938214"/>
          <c:h val="0.43737394799918305"/>
        </c:manualLayout>
      </c:layout>
      <c:bar3DChart>
        <c:barDir val="col"/>
        <c:grouping val="standard"/>
        <c:varyColors val="0"/>
        <c:ser>
          <c:idx val="0"/>
          <c:order val="0"/>
          <c:tx>
            <c:strRef>
              <c:f>pivot!$F$21</c:f>
              <c:strCache>
                <c:ptCount val="1"/>
                <c:pt idx="0">
                  <c:v>Total</c:v>
                </c:pt>
              </c:strCache>
            </c:strRef>
          </c:tx>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invertIfNegative val="0"/>
          <c:cat>
            <c:strRef>
              <c:f>pivot!$E$22:$E$32</c:f>
              <c:strCache>
                <c:ptCount val="10"/>
                <c:pt idx="0">
                  <c:v>Dairy</c:v>
                </c:pt>
                <c:pt idx="1">
                  <c:v>Protein</c:v>
                </c:pt>
                <c:pt idx="2">
                  <c:v>Snacks</c:v>
                </c:pt>
                <c:pt idx="3">
                  <c:v>Grains</c:v>
                </c:pt>
                <c:pt idx="4">
                  <c:v>Household</c:v>
                </c:pt>
                <c:pt idx="5">
                  <c:v>Spread</c:v>
                </c:pt>
                <c:pt idx="6">
                  <c:v>Beverages</c:v>
                </c:pt>
                <c:pt idx="7">
                  <c:v>Roots</c:v>
                </c:pt>
                <c:pt idx="8">
                  <c:v>Legumes</c:v>
                </c:pt>
                <c:pt idx="9">
                  <c:v>Bakery</c:v>
                </c:pt>
              </c:strCache>
            </c:strRef>
          </c:cat>
          <c:val>
            <c:numRef>
              <c:f>pivot!$F$22:$F$32</c:f>
              <c:numCache>
                <c:formatCode>_-[$₦-46A]* #,##0.00_-;\-[$₦-46A]* #,##0.00_-;_-[$₦-46A]* "-"??_-;_-@_-</c:formatCode>
                <c:ptCount val="10"/>
                <c:pt idx="0">
                  <c:v>4393772</c:v>
                </c:pt>
                <c:pt idx="1">
                  <c:v>4275377</c:v>
                </c:pt>
                <c:pt idx="2">
                  <c:v>4064541</c:v>
                </c:pt>
                <c:pt idx="3">
                  <c:v>3816599</c:v>
                </c:pt>
                <c:pt idx="4">
                  <c:v>3445177</c:v>
                </c:pt>
                <c:pt idx="5">
                  <c:v>3290000</c:v>
                </c:pt>
                <c:pt idx="6">
                  <c:v>3266230</c:v>
                </c:pt>
                <c:pt idx="7">
                  <c:v>3224090</c:v>
                </c:pt>
                <c:pt idx="8">
                  <c:v>3152526</c:v>
                </c:pt>
                <c:pt idx="9">
                  <c:v>3085763</c:v>
                </c:pt>
              </c:numCache>
            </c:numRef>
          </c:val>
          <c:extLst>
            <c:ext xmlns:c16="http://schemas.microsoft.com/office/drawing/2014/chart" uri="{C3380CC4-5D6E-409C-BE32-E72D297353CC}">
              <c16:uniqueId val="{00000000-B7F2-4CAD-8B09-C5D562EBD969}"/>
            </c:ext>
          </c:extLst>
        </c:ser>
        <c:dLbls>
          <c:showLegendKey val="0"/>
          <c:showVal val="0"/>
          <c:showCatName val="0"/>
          <c:showSerName val="0"/>
          <c:showPercent val="0"/>
          <c:showBubbleSize val="0"/>
        </c:dLbls>
        <c:gapWidth val="150"/>
        <c:shape val="box"/>
        <c:axId val="1926023839"/>
        <c:axId val="1926042559"/>
        <c:axId val="311718784"/>
      </c:bar3DChart>
      <c:catAx>
        <c:axId val="1926023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26042559"/>
        <c:crosses val="autoZero"/>
        <c:auto val="1"/>
        <c:lblAlgn val="ctr"/>
        <c:lblOffset val="100"/>
        <c:noMultiLvlLbl val="0"/>
      </c:catAx>
      <c:valAx>
        <c:axId val="1926042559"/>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26023839"/>
        <c:crosses val="autoZero"/>
        <c:crossBetween val="between"/>
      </c:valAx>
      <c:serAx>
        <c:axId val="31171878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260425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left).xlsx]pivot!PivotTable28</c:name>
    <c:fmtId val="4"/>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US"/>
              <a:t>Top Salesperson via sales</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5000">
                <a:srgbClr val="147A77"/>
              </a:gs>
              <a:gs pos="6000">
                <a:schemeClr val="accent1">
                  <a:lumMod val="45000"/>
                  <a:lumOff val="55000"/>
                </a:schemeClr>
              </a:gs>
              <a:gs pos="41000">
                <a:schemeClr val="accent1">
                  <a:lumMod val="45000"/>
                  <a:lumOff val="55000"/>
                </a:schemeClr>
              </a:gs>
              <a:gs pos="100000">
                <a:srgbClr val="FFFF00"/>
              </a:gs>
            </a:gsLst>
            <a:lin ang="5400000" scaled="1"/>
          </a:gradFill>
          <a:ln>
            <a:noFill/>
          </a:ln>
          <a:effectLs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5000">
                <a:srgbClr val="147A77"/>
              </a:gs>
              <a:gs pos="6000">
                <a:schemeClr val="accent1">
                  <a:lumMod val="45000"/>
                  <a:lumOff val="55000"/>
                </a:schemeClr>
              </a:gs>
              <a:gs pos="41000">
                <a:schemeClr val="accent1">
                  <a:lumMod val="45000"/>
                  <a:lumOff val="55000"/>
                </a:schemeClr>
              </a:gs>
              <a:gs pos="100000">
                <a:srgbClr val="FFFF00"/>
              </a:gs>
            </a:gsLst>
            <a:lin ang="5400000" scaled="1"/>
          </a:gradFill>
          <a:ln>
            <a:noFill/>
          </a:ln>
          <a:effectLs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5000">
                <a:srgbClr val="B085F5"/>
              </a:gs>
              <a:gs pos="100000">
                <a:schemeClr val="accent1">
                  <a:lumMod val="45000"/>
                  <a:lumOff val="55000"/>
                </a:schemeClr>
              </a:gs>
              <a:gs pos="0">
                <a:srgbClr val="6B3FA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614263250937604"/>
          <c:y val="0.33720242421120222"/>
          <c:w val="0.75118762316932886"/>
          <c:h val="0.45429443789246704"/>
        </c:manualLayout>
      </c:layout>
      <c:bar3DChart>
        <c:barDir val="col"/>
        <c:grouping val="standard"/>
        <c:varyColors val="0"/>
        <c:ser>
          <c:idx val="0"/>
          <c:order val="0"/>
          <c:tx>
            <c:strRef>
              <c:f>pivot!$I$54</c:f>
              <c:strCache>
                <c:ptCount val="1"/>
                <c:pt idx="0">
                  <c:v>Total</c:v>
                </c:pt>
              </c:strCache>
            </c:strRef>
          </c:tx>
          <c:spPr>
            <a:gradFill>
              <a:gsLst>
                <a:gs pos="25000">
                  <a:srgbClr val="B085F5"/>
                </a:gs>
                <a:gs pos="100000">
                  <a:schemeClr val="accent1">
                    <a:lumMod val="45000"/>
                    <a:lumOff val="55000"/>
                  </a:schemeClr>
                </a:gs>
                <a:gs pos="0">
                  <a:srgbClr val="6B3FA0"/>
                </a:gs>
              </a:gsLst>
              <a:lin ang="5400000" scaled="1"/>
            </a:gradFill>
            <a:ln>
              <a:noFill/>
            </a:ln>
            <a:effectLst/>
            <a:sp3d/>
          </c:spPr>
          <c:invertIfNegative val="0"/>
          <c:cat>
            <c:strRef>
              <c:f>pivot!$H$55:$H$63</c:f>
              <c:strCache>
                <c:ptCount val="8"/>
                <c:pt idx="0">
                  <c:v>John</c:v>
                </c:pt>
                <c:pt idx="1">
                  <c:v>Bola</c:v>
                </c:pt>
                <c:pt idx="2">
                  <c:v>Chioma</c:v>
                </c:pt>
                <c:pt idx="3">
                  <c:v>Fatima</c:v>
                </c:pt>
                <c:pt idx="4">
                  <c:v>Emeka</c:v>
                </c:pt>
                <c:pt idx="5">
                  <c:v>Tunde</c:v>
                </c:pt>
                <c:pt idx="6">
                  <c:v>Ngozi</c:v>
                </c:pt>
                <c:pt idx="7">
                  <c:v>Ade</c:v>
                </c:pt>
              </c:strCache>
            </c:strRef>
          </c:cat>
          <c:val>
            <c:numRef>
              <c:f>pivot!$I$55:$I$63</c:f>
              <c:numCache>
                <c:formatCode>_-[$₦-46A]* #,##0.00_-;\-[$₦-46A]* #,##0.00_-;_-[$₦-46A]* "-"??_-;_-@_-</c:formatCode>
                <c:ptCount val="8"/>
                <c:pt idx="0">
                  <c:v>5214581</c:v>
                </c:pt>
                <c:pt idx="1">
                  <c:v>4965010</c:v>
                </c:pt>
                <c:pt idx="2">
                  <c:v>4533283</c:v>
                </c:pt>
                <c:pt idx="3">
                  <c:v>4375469</c:v>
                </c:pt>
                <c:pt idx="4">
                  <c:v>4327807</c:v>
                </c:pt>
                <c:pt idx="5">
                  <c:v>4259237</c:v>
                </c:pt>
                <c:pt idx="6">
                  <c:v>4187580</c:v>
                </c:pt>
                <c:pt idx="7">
                  <c:v>4151108</c:v>
                </c:pt>
              </c:numCache>
            </c:numRef>
          </c:val>
          <c:extLst>
            <c:ext xmlns:c16="http://schemas.microsoft.com/office/drawing/2014/chart" uri="{C3380CC4-5D6E-409C-BE32-E72D297353CC}">
              <c16:uniqueId val="{00000000-BF81-4B6E-841E-1924754BAB51}"/>
            </c:ext>
          </c:extLst>
        </c:ser>
        <c:dLbls>
          <c:showLegendKey val="0"/>
          <c:showVal val="0"/>
          <c:showCatName val="0"/>
          <c:showSerName val="0"/>
          <c:showPercent val="0"/>
          <c:showBubbleSize val="0"/>
        </c:dLbls>
        <c:gapWidth val="150"/>
        <c:shape val="box"/>
        <c:axId val="1750963167"/>
        <c:axId val="1750960287"/>
        <c:axId val="69773712"/>
      </c:bar3DChart>
      <c:catAx>
        <c:axId val="1750963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50960287"/>
        <c:crosses val="autoZero"/>
        <c:auto val="1"/>
        <c:lblAlgn val="ctr"/>
        <c:lblOffset val="100"/>
        <c:noMultiLvlLbl val="0"/>
      </c:catAx>
      <c:valAx>
        <c:axId val="1750960287"/>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50963167"/>
        <c:crosses val="autoZero"/>
        <c:crossBetween val="between"/>
      </c:valAx>
      <c:serAx>
        <c:axId val="697737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509602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left).xlsx]pivot!PivotTable13</c:name>
    <c:fmtId val="8"/>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Sales trend in Q2</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solidFill>
            </a:ln>
            <a:effectLst/>
          </c:spPr>
        </c:marker>
        <c:dLbl>
          <c:idx val="0"/>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pivot!$C$25</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solidFill>
              </a:ln>
              <a:effectLst/>
            </c:spPr>
          </c:marker>
          <c:dLbls>
            <c:spPr>
              <a:solidFill>
                <a:schemeClr val="tx1"/>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pivot!$B$26:$B$29</c:f>
              <c:strCache>
                <c:ptCount val="3"/>
                <c:pt idx="0">
                  <c:v>Jun</c:v>
                </c:pt>
                <c:pt idx="1">
                  <c:v>Apr</c:v>
                </c:pt>
                <c:pt idx="2">
                  <c:v>May</c:v>
                </c:pt>
              </c:strCache>
            </c:strRef>
          </c:cat>
          <c:val>
            <c:numRef>
              <c:f>pivot!$C$26:$C$29</c:f>
              <c:numCache>
                <c:formatCode>_-[$₦-46A]* #,##0.00_-;\-[$₦-46A]* #,##0.00_-;_-[$₦-46A]* "-"??_-;_-@_-</c:formatCode>
                <c:ptCount val="3"/>
                <c:pt idx="0">
                  <c:v>12683091</c:v>
                </c:pt>
                <c:pt idx="1">
                  <c:v>12111948</c:v>
                </c:pt>
                <c:pt idx="2">
                  <c:v>11219036</c:v>
                </c:pt>
              </c:numCache>
            </c:numRef>
          </c:val>
          <c:smooth val="0"/>
          <c:extLst>
            <c:ext xmlns:c16="http://schemas.microsoft.com/office/drawing/2014/chart" uri="{C3380CC4-5D6E-409C-BE32-E72D297353CC}">
              <c16:uniqueId val="{00000000-7196-4D2B-99C7-C8B24E05391A}"/>
            </c:ext>
          </c:extLst>
        </c:ser>
        <c:dLbls>
          <c:dLblPos val="t"/>
          <c:showLegendKey val="0"/>
          <c:showVal val="1"/>
          <c:showCatName val="0"/>
          <c:showSerName val="0"/>
          <c:showPercent val="0"/>
          <c:showBubbleSize val="0"/>
        </c:dLbls>
        <c:marker val="1"/>
        <c:smooth val="0"/>
        <c:axId val="1750963647"/>
        <c:axId val="26824064"/>
      </c:lineChart>
      <c:catAx>
        <c:axId val="17509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6824064"/>
        <c:crosses val="autoZero"/>
        <c:auto val="1"/>
        <c:lblAlgn val="ctr"/>
        <c:lblOffset val="100"/>
        <c:noMultiLvlLbl val="0"/>
      </c:catAx>
      <c:valAx>
        <c:axId val="26824064"/>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096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left).xlsx]pivot!PivotTable17</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Average sales per transaction by gender</a:t>
            </a:r>
          </a:p>
          <a:p>
            <a:pPr>
              <a:defRPr/>
            </a:pPr>
            <a:endParaRPr lang="en-US"/>
          </a:p>
        </c:rich>
      </c:tx>
      <c:layout>
        <c:manualLayout>
          <c:xMode val="edge"/>
          <c:yMode val="edge"/>
          <c:x val="0.25310178191230909"/>
          <c:y val="0.1169690057507646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47A77"/>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F4C4A"/>
          </a:solidFill>
          <a:ln w="19050">
            <a:solidFill>
              <a:schemeClr val="lt1"/>
            </a:solidFill>
          </a:ln>
          <a:effectLst/>
        </c:spPr>
      </c:pivotFmt>
      <c:pivotFmt>
        <c:idx val="3"/>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w="19050">
            <a:solidFill>
              <a:schemeClr val="lt1"/>
            </a:solidFill>
          </a:ln>
          <a:effectLst/>
        </c:spPr>
      </c:pivotFmt>
      <c:pivotFmt>
        <c:idx val="4"/>
        <c:spPr>
          <a:solidFill>
            <a:srgbClr val="147A77"/>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F4C4A"/>
          </a:solidFill>
          <a:ln w="19050">
            <a:solidFill>
              <a:schemeClr val="lt1"/>
            </a:solidFill>
          </a:ln>
          <a:effectLst/>
        </c:spPr>
      </c:pivotFmt>
      <c:pivotFmt>
        <c:idx val="6"/>
        <c:spPr>
          <a:gradFill>
            <a:gsLst>
              <a:gs pos="25000">
                <a:srgbClr val="147A77"/>
              </a:gs>
              <a:gs pos="74000">
                <a:schemeClr val="accent1">
                  <a:lumMod val="45000"/>
                  <a:lumOff val="55000"/>
                </a:schemeClr>
              </a:gs>
              <a:gs pos="83000">
                <a:schemeClr val="accent1">
                  <a:lumMod val="45000"/>
                  <a:lumOff val="55000"/>
                </a:schemeClr>
              </a:gs>
              <a:gs pos="0">
                <a:srgbClr val="FFFF00"/>
              </a:gs>
            </a:gsLst>
            <a:lin ang="5400000" scaled="1"/>
          </a:gradFill>
          <a:ln w="19050">
            <a:solidFill>
              <a:schemeClr val="lt1"/>
            </a:solidFill>
          </a:ln>
          <a:effectLst/>
        </c:spPr>
      </c:pivotFmt>
      <c:pivotFmt>
        <c:idx val="7"/>
        <c:spPr>
          <a:solidFill>
            <a:srgbClr val="147A77"/>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1A172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085F5"/>
          </a:solidFill>
          <a:ln w="19050">
            <a:solidFill>
              <a:schemeClr val="lt1"/>
            </a:solidFill>
          </a:ln>
          <a:effectLst/>
        </c:spPr>
      </c:pivotFmt>
      <c:pivotFmt>
        <c:idx val="9"/>
        <c:spPr>
          <a:solidFill>
            <a:srgbClr val="0C0B10"/>
          </a:solidFill>
          <a:ln w="19050">
            <a:solidFill>
              <a:schemeClr val="lt1"/>
            </a:solidFill>
          </a:ln>
          <a:effectLst/>
        </c:spPr>
      </c:pivotFmt>
    </c:pivotFmts>
    <c:plotArea>
      <c:layout>
        <c:manualLayout>
          <c:layoutTarget val="inner"/>
          <c:xMode val="edge"/>
          <c:yMode val="edge"/>
          <c:x val="0.2687937445319335"/>
          <c:y val="0.25689539207458256"/>
          <c:w val="0.36643591426071742"/>
          <c:h val="0.71228292599139997"/>
        </c:manualLayout>
      </c:layout>
      <c:doughnutChart>
        <c:varyColors val="1"/>
        <c:ser>
          <c:idx val="0"/>
          <c:order val="0"/>
          <c:tx>
            <c:strRef>
              <c:f>pivot!$C$37</c:f>
              <c:strCache>
                <c:ptCount val="1"/>
                <c:pt idx="0">
                  <c:v>Total</c:v>
                </c:pt>
              </c:strCache>
            </c:strRef>
          </c:tx>
          <c:spPr>
            <a:solidFill>
              <a:srgbClr val="147A77"/>
            </a:solidFill>
          </c:spPr>
          <c:dPt>
            <c:idx val="0"/>
            <c:bubble3D val="0"/>
            <c:spPr>
              <a:solidFill>
                <a:srgbClr val="B085F5"/>
              </a:solidFill>
              <a:ln w="19050">
                <a:solidFill>
                  <a:schemeClr val="lt1"/>
                </a:solidFill>
              </a:ln>
              <a:effectLst/>
            </c:spPr>
            <c:extLst>
              <c:ext xmlns:c16="http://schemas.microsoft.com/office/drawing/2014/chart" uri="{C3380CC4-5D6E-409C-BE32-E72D297353CC}">
                <c16:uniqueId val="{00000001-7FE9-448C-8F29-CBDFD57D66E1}"/>
              </c:ext>
            </c:extLst>
          </c:dPt>
          <c:dPt>
            <c:idx val="1"/>
            <c:bubble3D val="0"/>
            <c:spPr>
              <a:solidFill>
                <a:srgbClr val="0C0B10"/>
              </a:solidFill>
              <a:ln w="19050">
                <a:solidFill>
                  <a:schemeClr val="lt1"/>
                </a:solidFill>
              </a:ln>
              <a:effectLst/>
            </c:spPr>
            <c:extLst>
              <c:ext xmlns:c16="http://schemas.microsoft.com/office/drawing/2014/chart" uri="{C3380CC4-5D6E-409C-BE32-E72D297353CC}">
                <c16:uniqueId val="{00000003-7FE9-448C-8F29-CBDFD57D66E1}"/>
              </c:ext>
            </c:extLst>
          </c:dPt>
          <c:dLbls>
            <c:spPr>
              <a:solidFill>
                <a:schemeClr val="bg1"/>
              </a:solidFill>
              <a:ln>
                <a:noFill/>
              </a:ln>
              <a:effectLst/>
            </c:spPr>
            <c:txPr>
              <a:bodyPr rot="0" spcFirstLastPara="1" vertOverflow="ellipsis" vert="horz" wrap="square" anchor="ctr" anchorCtr="1"/>
              <a:lstStyle/>
              <a:p>
                <a:pPr>
                  <a:defRPr sz="1200" b="1" i="0" u="none" strike="noStrike" kern="1200" baseline="0">
                    <a:solidFill>
                      <a:srgbClr val="1A1723"/>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pivot!$B$38:$B$40</c:f>
              <c:strCache>
                <c:ptCount val="2"/>
                <c:pt idx="0">
                  <c:v>Female</c:v>
                </c:pt>
                <c:pt idx="1">
                  <c:v>Male</c:v>
                </c:pt>
              </c:strCache>
            </c:strRef>
          </c:cat>
          <c:val>
            <c:numRef>
              <c:f>pivot!$C$38:$C$40</c:f>
              <c:numCache>
                <c:formatCode>_-[$₦-46A]* #,##0.00_-;\-[$₦-46A]* #,##0.00_-;_-[$₦-46A]* "-"??_-;_-@_-</c:formatCode>
                <c:ptCount val="2"/>
                <c:pt idx="0">
                  <c:v>46136.722077922081</c:v>
                </c:pt>
                <c:pt idx="1">
                  <c:v>43979.366265060242</c:v>
                </c:pt>
              </c:numCache>
            </c:numRef>
          </c:val>
          <c:extLst>
            <c:ext xmlns:c16="http://schemas.microsoft.com/office/drawing/2014/chart" uri="{C3380CC4-5D6E-409C-BE32-E72D297353CC}">
              <c16:uniqueId val="{00000004-7FE9-448C-8F29-CBDFD57D66E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left).xlsx]pivot!PivotTable19</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Average unit price per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F4C4A"/>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4C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pivot!$M$36</c:f>
              <c:strCache>
                <c:ptCount val="1"/>
                <c:pt idx="0">
                  <c:v>Total</c:v>
                </c:pt>
              </c:strCache>
            </c:strRef>
          </c:tx>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invertIfNegative val="0"/>
          <c:cat>
            <c:strRef>
              <c:f>pivot!$L$37:$L$47</c:f>
              <c:strCache>
                <c:ptCount val="10"/>
                <c:pt idx="0">
                  <c:v>Eggs</c:v>
                </c:pt>
                <c:pt idx="1">
                  <c:v>Bread</c:v>
                </c:pt>
                <c:pt idx="2">
                  <c:v>Soft Drink</c:v>
                </c:pt>
                <c:pt idx="3">
                  <c:v>Milk</c:v>
                </c:pt>
                <c:pt idx="4">
                  <c:v>Beans</c:v>
                </c:pt>
                <c:pt idx="5">
                  <c:v>Yam</c:v>
                </c:pt>
                <c:pt idx="6">
                  <c:v>Plantain Chips</c:v>
                </c:pt>
                <c:pt idx="7">
                  <c:v>Rice</c:v>
                </c:pt>
                <c:pt idx="8">
                  <c:v>Soap</c:v>
                </c:pt>
                <c:pt idx="9">
                  <c:v>Butter</c:v>
                </c:pt>
              </c:strCache>
            </c:strRef>
          </c:cat>
          <c:val>
            <c:numRef>
              <c:f>pivot!$M$37:$M$47</c:f>
              <c:numCache>
                <c:formatCode>_-[$₦-469]\ * #,##0.00_-;\-[$₦-469]\ * #,##0.00_-;_-[$₦-469]\ * "-"??_-;_-@_-</c:formatCode>
                <c:ptCount val="10"/>
                <c:pt idx="0">
                  <c:v>1746.8219178082193</c:v>
                </c:pt>
                <c:pt idx="1">
                  <c:v>1713.131868131868</c:v>
                </c:pt>
                <c:pt idx="2">
                  <c:v>1697.5</c:v>
                </c:pt>
                <c:pt idx="3">
                  <c:v>1680.0121951219512</c:v>
                </c:pt>
                <c:pt idx="4">
                  <c:v>1676.3132530120481</c:v>
                </c:pt>
                <c:pt idx="5">
                  <c:v>1646.2375</c:v>
                </c:pt>
                <c:pt idx="6">
                  <c:v>1639.3513513513512</c:v>
                </c:pt>
                <c:pt idx="7">
                  <c:v>1596.9615384615386</c:v>
                </c:pt>
                <c:pt idx="8">
                  <c:v>1536.2736842105264</c:v>
                </c:pt>
                <c:pt idx="9">
                  <c:v>1447.0540540540539</c:v>
                </c:pt>
              </c:numCache>
            </c:numRef>
          </c:val>
          <c:extLst>
            <c:ext xmlns:c16="http://schemas.microsoft.com/office/drawing/2014/chart" uri="{C3380CC4-5D6E-409C-BE32-E72D297353CC}">
              <c16:uniqueId val="{00000000-B858-4F36-8E4C-718B39130C48}"/>
            </c:ext>
          </c:extLst>
        </c:ser>
        <c:dLbls>
          <c:showLegendKey val="0"/>
          <c:showVal val="0"/>
          <c:showCatName val="0"/>
          <c:showSerName val="0"/>
          <c:showPercent val="0"/>
          <c:showBubbleSize val="0"/>
        </c:dLbls>
        <c:gapWidth val="150"/>
        <c:shape val="box"/>
        <c:axId val="1236391903"/>
        <c:axId val="1236390943"/>
        <c:axId val="4978656"/>
      </c:bar3DChart>
      <c:catAx>
        <c:axId val="123639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36390943"/>
        <c:crosses val="autoZero"/>
        <c:auto val="1"/>
        <c:lblAlgn val="ctr"/>
        <c:lblOffset val="100"/>
        <c:noMultiLvlLbl val="0"/>
      </c:catAx>
      <c:valAx>
        <c:axId val="1236390943"/>
        <c:scaling>
          <c:orientation val="minMax"/>
        </c:scaling>
        <c:delete val="0"/>
        <c:axPos val="l"/>
        <c:majorGridlines>
          <c:spPr>
            <a:ln w="9525" cap="flat" cmpd="sng" algn="ctr">
              <a:solidFill>
                <a:schemeClr val="tx1">
                  <a:lumMod val="15000"/>
                  <a:lumOff val="85000"/>
                </a:schemeClr>
              </a:solidFill>
              <a:round/>
            </a:ln>
            <a:effectLst/>
          </c:spPr>
        </c:majorGridlines>
        <c:numFmt formatCode="_-[$₦-469]\ * #,##0.00_-;\-[$₦-469]\ * #,##0.00_-;_-[$₦-469]\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36391903"/>
        <c:crosses val="autoZero"/>
        <c:crossBetween val="between"/>
      </c:valAx>
      <c:serAx>
        <c:axId val="49786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3639094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left).xlsx]pivot!PivotTable9</c:name>
    <c:fmtId val="2"/>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US"/>
              <a:t>Sales</a:t>
            </a:r>
            <a:r>
              <a:rPr lang="en-US" baseline="0"/>
              <a:t> by gender</a:t>
            </a:r>
          </a:p>
          <a:p>
            <a:pPr>
              <a:defRPr/>
            </a:pPr>
            <a:endParaRPr lang="en-US"/>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085F5"/>
          </a:solidFill>
          <a:ln>
            <a:noFill/>
          </a:ln>
          <a:effectLst/>
        </c:spPr>
      </c:pivotFmt>
      <c:pivotFmt>
        <c:idx val="3"/>
        <c:spPr>
          <a:solidFill>
            <a:schemeClr val="bg1"/>
          </a:solidFill>
          <a:ln>
            <a:noFill/>
          </a:ln>
          <a:effectLst/>
        </c:spPr>
      </c:pivotFmt>
    </c:pivotFmts>
    <c:plotArea>
      <c:layout>
        <c:manualLayout>
          <c:layoutTarget val="inner"/>
          <c:xMode val="edge"/>
          <c:yMode val="edge"/>
          <c:x val="0.25033333333333335"/>
          <c:y val="0.30896145168966205"/>
          <c:w val="0.50792585301837267"/>
          <c:h val="0.49379780207526469"/>
        </c:manualLayout>
      </c:layout>
      <c:pieChart>
        <c:varyColors val="1"/>
        <c:ser>
          <c:idx val="0"/>
          <c:order val="0"/>
          <c:tx>
            <c:strRef>
              <c:f>pivot!$Y$8</c:f>
              <c:strCache>
                <c:ptCount val="1"/>
                <c:pt idx="0">
                  <c:v>Total</c:v>
                </c:pt>
              </c:strCache>
            </c:strRef>
          </c:tx>
          <c:dPt>
            <c:idx val="0"/>
            <c:bubble3D val="0"/>
            <c:spPr>
              <a:solidFill>
                <a:srgbClr val="B085F5"/>
              </a:solidFill>
              <a:ln>
                <a:noFill/>
              </a:ln>
              <a:effectLst/>
            </c:spPr>
            <c:extLst>
              <c:ext xmlns:c16="http://schemas.microsoft.com/office/drawing/2014/chart" uri="{C3380CC4-5D6E-409C-BE32-E72D297353CC}">
                <c16:uniqueId val="{00000001-18C5-44BA-9885-CFBB9F6D9DAB}"/>
              </c:ext>
            </c:extLst>
          </c:dPt>
          <c:dPt>
            <c:idx val="1"/>
            <c:bubble3D val="0"/>
            <c:spPr>
              <a:solidFill>
                <a:schemeClr val="bg1"/>
              </a:solidFill>
              <a:ln>
                <a:noFill/>
              </a:ln>
              <a:effectLst/>
            </c:spPr>
            <c:extLst>
              <c:ext xmlns:c16="http://schemas.microsoft.com/office/drawing/2014/chart" uri="{C3380CC4-5D6E-409C-BE32-E72D297353CC}">
                <c16:uniqueId val="{00000002-18C5-44BA-9885-CFBB9F6D9DAB}"/>
              </c:ext>
            </c:extLst>
          </c:dPt>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pivot!$X$9:$X$11</c:f>
              <c:strCache>
                <c:ptCount val="2"/>
                <c:pt idx="0">
                  <c:v>Female</c:v>
                </c:pt>
                <c:pt idx="1">
                  <c:v>Male</c:v>
                </c:pt>
              </c:strCache>
            </c:strRef>
          </c:cat>
          <c:val>
            <c:numRef>
              <c:f>pivot!$Y$9:$Y$11</c:f>
              <c:numCache>
                <c:formatCode>_-[$₦-46A]* #,##0.00_-;\-[$₦-46A]* #,##0.00_-;_-[$₦-46A]* "-"??_-;_-@_-</c:formatCode>
                <c:ptCount val="2"/>
                <c:pt idx="0">
                  <c:v>17762638</c:v>
                </c:pt>
                <c:pt idx="1">
                  <c:v>18251437</c:v>
                </c:pt>
              </c:numCache>
            </c:numRef>
          </c:val>
          <c:extLst>
            <c:ext xmlns:c16="http://schemas.microsoft.com/office/drawing/2014/chart" uri="{C3380CC4-5D6E-409C-BE32-E72D297353CC}">
              <c16:uniqueId val="{00000000-18C5-44BA-9885-CFBB9F6D9D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left).xlsx]pivot!PivotTable10</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pivotFmt>
      <c:pivotFmt>
        <c:idx val="3"/>
        <c:spPr>
          <a:solidFill>
            <a:schemeClr val="bg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pivot!$Y$37</c:f>
              <c:strCache>
                <c:ptCount val="1"/>
                <c:pt idx="0">
                  <c:v>Total</c:v>
                </c:pt>
              </c:strCache>
            </c:strRef>
          </c:tx>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invertIfNegative val="0"/>
          <c:dPt>
            <c:idx val="3"/>
            <c:invertIfNegative val="0"/>
            <c:bubble3D val="0"/>
            <c:spPr>
              <a:solidFill>
                <a:schemeClr val="bg1"/>
              </a:solidFill>
              <a:ln>
                <a:noFill/>
              </a:ln>
              <a:effectLst/>
              <a:sp3d/>
            </c:spPr>
            <c:extLst>
              <c:ext xmlns:c16="http://schemas.microsoft.com/office/drawing/2014/chart" uri="{C3380CC4-5D6E-409C-BE32-E72D297353CC}">
                <c16:uniqueId val="{00000001-F349-4A23-BA1D-8D553B9534D4}"/>
              </c:ext>
            </c:extLst>
          </c:dPt>
          <c:dPt>
            <c:idx val="4"/>
            <c:invertIfNegative val="0"/>
            <c:bubble3D val="0"/>
            <c:extLst>
              <c:ext xmlns:c16="http://schemas.microsoft.com/office/drawing/2014/chart" uri="{C3380CC4-5D6E-409C-BE32-E72D297353CC}">
                <c16:uniqueId val="{00000001-55F4-4AD4-8EC1-997DA73786CA}"/>
              </c:ext>
            </c:extLst>
          </c:dPt>
          <c:cat>
            <c:strRef>
              <c:f>pivot!$X$38:$X$48</c:f>
              <c:strCache>
                <c:ptCount val="10"/>
                <c:pt idx="0">
                  <c:v>Bread</c:v>
                </c:pt>
                <c:pt idx="1">
                  <c:v>Soap</c:v>
                </c:pt>
                <c:pt idx="2">
                  <c:v>Beans</c:v>
                </c:pt>
                <c:pt idx="3">
                  <c:v>Milk</c:v>
                </c:pt>
                <c:pt idx="4">
                  <c:v>Plantain Chips</c:v>
                </c:pt>
                <c:pt idx="5">
                  <c:v>Yam</c:v>
                </c:pt>
                <c:pt idx="6">
                  <c:v>Eggs</c:v>
                </c:pt>
                <c:pt idx="7">
                  <c:v>Soft Drink</c:v>
                </c:pt>
                <c:pt idx="8">
                  <c:v>Rice</c:v>
                </c:pt>
                <c:pt idx="9">
                  <c:v>Butter</c:v>
                </c:pt>
              </c:strCache>
            </c:strRef>
          </c:cat>
          <c:val>
            <c:numRef>
              <c:f>pivot!$Y$38:$Y$48</c:f>
              <c:numCache>
                <c:formatCode>General</c:formatCode>
                <c:ptCount val="10"/>
                <c:pt idx="0">
                  <c:v>4283769</c:v>
                </c:pt>
                <c:pt idx="1">
                  <c:v>4080794</c:v>
                </c:pt>
                <c:pt idx="2">
                  <c:v>3885703</c:v>
                </c:pt>
                <c:pt idx="3">
                  <c:v>3770944</c:v>
                </c:pt>
                <c:pt idx="4">
                  <c:v>3514986</c:v>
                </c:pt>
                <c:pt idx="5">
                  <c:v>3396761</c:v>
                </c:pt>
                <c:pt idx="6">
                  <c:v>3385177</c:v>
                </c:pt>
                <c:pt idx="7">
                  <c:v>3337385</c:v>
                </c:pt>
                <c:pt idx="8">
                  <c:v>3205163</c:v>
                </c:pt>
                <c:pt idx="9">
                  <c:v>3153393</c:v>
                </c:pt>
              </c:numCache>
            </c:numRef>
          </c:val>
          <c:extLst>
            <c:ext xmlns:c16="http://schemas.microsoft.com/office/drawing/2014/chart" uri="{C3380CC4-5D6E-409C-BE32-E72D297353CC}">
              <c16:uniqueId val="{00000000-55F4-4AD4-8EC1-997DA73786CA}"/>
            </c:ext>
          </c:extLst>
        </c:ser>
        <c:dLbls>
          <c:showLegendKey val="0"/>
          <c:showVal val="0"/>
          <c:showCatName val="0"/>
          <c:showSerName val="0"/>
          <c:showPercent val="0"/>
          <c:showBubbleSize val="0"/>
        </c:dLbls>
        <c:gapWidth val="150"/>
        <c:shape val="box"/>
        <c:axId val="1053720416"/>
        <c:axId val="1053704096"/>
        <c:axId val="1911720687"/>
      </c:bar3DChart>
      <c:catAx>
        <c:axId val="1053720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3704096"/>
        <c:crosses val="autoZero"/>
        <c:auto val="1"/>
        <c:lblAlgn val="ctr"/>
        <c:lblOffset val="100"/>
        <c:noMultiLvlLbl val="0"/>
      </c:catAx>
      <c:valAx>
        <c:axId val="105370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3720416"/>
        <c:crosses val="autoZero"/>
        <c:crossBetween val="between"/>
      </c:valAx>
      <c:serAx>
        <c:axId val="19117206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370409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left).xlsx]pivot!PivotTable22</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Most</a:t>
            </a:r>
            <a:r>
              <a:rPr lang="en-US" baseline="0"/>
              <a:t> profitable category</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5000">
                <a:srgbClr val="B085F5"/>
              </a:gs>
              <a:gs pos="100000">
                <a:schemeClr val="accent1">
                  <a:lumMod val="45000"/>
                  <a:lumOff val="55000"/>
                </a:schemeClr>
              </a:gs>
              <a:gs pos="0">
                <a:srgbClr val="6B3FA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000">
                <a:srgbClr val="6B3FA0"/>
              </a:gs>
              <a:gs pos="28000">
                <a:srgbClr val="B085F5"/>
              </a:gs>
              <a:gs pos="70000">
                <a:srgbClr val="8D99E9"/>
              </a:gs>
              <a:gs pos="87000">
                <a:srgbClr val="6CABDD"/>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pivot!$P$36</c:f>
              <c:strCache>
                <c:ptCount val="1"/>
                <c:pt idx="0">
                  <c:v>Total</c:v>
                </c:pt>
              </c:strCache>
            </c:strRef>
          </c:tx>
          <c:spPr>
            <a:gradFill>
              <a:gsLst>
                <a:gs pos="3000">
                  <a:srgbClr val="6B3FA0"/>
                </a:gs>
                <a:gs pos="28000">
                  <a:srgbClr val="B085F5"/>
                </a:gs>
                <a:gs pos="70000">
                  <a:srgbClr val="8D99E9"/>
                </a:gs>
                <a:gs pos="87000">
                  <a:srgbClr val="6CABDD"/>
                </a:gs>
              </a:gsLst>
              <a:lin ang="5400000" scaled="1"/>
            </a:gradFill>
            <a:ln>
              <a:noFill/>
            </a:ln>
            <a:effectLst/>
            <a:sp3d/>
          </c:spPr>
          <c:invertIfNegative val="0"/>
          <c:cat>
            <c:strRef>
              <c:f>pivot!$O$37:$O$47</c:f>
              <c:strCache>
                <c:ptCount val="10"/>
                <c:pt idx="0">
                  <c:v>Dairy</c:v>
                </c:pt>
                <c:pt idx="1">
                  <c:v>Protein</c:v>
                </c:pt>
                <c:pt idx="2">
                  <c:v>Grains</c:v>
                </c:pt>
                <c:pt idx="3">
                  <c:v>Household</c:v>
                </c:pt>
                <c:pt idx="4">
                  <c:v>Snacks</c:v>
                </c:pt>
                <c:pt idx="5">
                  <c:v>Roots</c:v>
                </c:pt>
                <c:pt idx="6">
                  <c:v>Spread</c:v>
                </c:pt>
                <c:pt idx="7">
                  <c:v>Beverages</c:v>
                </c:pt>
                <c:pt idx="8">
                  <c:v>Bakery</c:v>
                </c:pt>
                <c:pt idx="9">
                  <c:v>Legumes</c:v>
                </c:pt>
              </c:strCache>
            </c:strRef>
          </c:cat>
          <c:val>
            <c:numRef>
              <c:f>pivot!$P$37:$P$47</c:f>
              <c:numCache>
                <c:formatCode>_-[$₦-46A]* #,##0.00_-;\-[$₦-46A]* #,##0.00_-;_-[$₦-46A]* "-"??_-;_-@_-</c:formatCode>
                <c:ptCount val="10"/>
                <c:pt idx="0">
                  <c:v>1404872</c:v>
                </c:pt>
                <c:pt idx="1">
                  <c:v>1300027</c:v>
                </c:pt>
                <c:pt idx="2">
                  <c:v>1271899</c:v>
                </c:pt>
                <c:pt idx="3">
                  <c:v>1096027</c:v>
                </c:pt>
                <c:pt idx="4">
                  <c:v>1005291</c:v>
                </c:pt>
                <c:pt idx="5">
                  <c:v>974740</c:v>
                </c:pt>
                <c:pt idx="6">
                  <c:v>965150</c:v>
                </c:pt>
                <c:pt idx="7">
                  <c:v>935230</c:v>
                </c:pt>
                <c:pt idx="8">
                  <c:v>880613</c:v>
                </c:pt>
                <c:pt idx="9">
                  <c:v>837776</c:v>
                </c:pt>
              </c:numCache>
            </c:numRef>
          </c:val>
          <c:extLst>
            <c:ext xmlns:c16="http://schemas.microsoft.com/office/drawing/2014/chart" uri="{C3380CC4-5D6E-409C-BE32-E72D297353CC}">
              <c16:uniqueId val="{00000000-AD7D-4F42-80AF-EC752F67E39D}"/>
            </c:ext>
          </c:extLst>
        </c:ser>
        <c:dLbls>
          <c:showLegendKey val="0"/>
          <c:showVal val="0"/>
          <c:showCatName val="0"/>
          <c:showSerName val="0"/>
          <c:showPercent val="0"/>
          <c:showBubbleSize val="0"/>
        </c:dLbls>
        <c:gapWidth val="150"/>
        <c:shape val="box"/>
        <c:axId val="1750477136"/>
        <c:axId val="1750477616"/>
        <c:axId val="1573705856"/>
      </c:bar3DChart>
      <c:catAx>
        <c:axId val="1750477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0477616"/>
        <c:crosses val="autoZero"/>
        <c:auto val="1"/>
        <c:lblAlgn val="ctr"/>
        <c:lblOffset val="100"/>
        <c:noMultiLvlLbl val="0"/>
      </c:catAx>
      <c:valAx>
        <c:axId val="1750477616"/>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0477136"/>
        <c:crosses val="autoZero"/>
        <c:crossBetween val="between"/>
      </c:valAx>
      <c:serAx>
        <c:axId val="15737058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04776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left).xlsx]pivot!PivotTable23</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a:t>Top</a:t>
            </a:r>
            <a:r>
              <a:rPr lang="en-US" baseline="0"/>
              <a:t> salesperson via profit</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pivot!$S$14</c:f>
              <c:strCache>
                <c:ptCount val="1"/>
                <c:pt idx="0">
                  <c:v>Total</c:v>
                </c:pt>
              </c:strCache>
            </c:strRef>
          </c:tx>
          <c:spPr>
            <a:gradFill>
              <a:gsLst>
                <a:gs pos="25000">
                  <a:srgbClr val="B085F5"/>
                </a:gs>
                <a:gs pos="74000">
                  <a:schemeClr val="accent1">
                    <a:lumMod val="45000"/>
                    <a:lumOff val="55000"/>
                  </a:schemeClr>
                </a:gs>
                <a:gs pos="83000">
                  <a:schemeClr val="accent1">
                    <a:lumMod val="45000"/>
                    <a:lumOff val="55000"/>
                  </a:schemeClr>
                </a:gs>
                <a:gs pos="0">
                  <a:srgbClr val="6B3FA0"/>
                </a:gs>
              </a:gsLst>
              <a:lin ang="5400000" scaled="1"/>
            </a:gradFill>
            <a:ln>
              <a:noFill/>
            </a:ln>
            <a:effectLst/>
            <a:sp3d/>
          </c:spPr>
          <c:invertIfNegative val="0"/>
          <c:cat>
            <c:strRef>
              <c:f>pivot!$R$15:$R$23</c:f>
              <c:strCache>
                <c:ptCount val="8"/>
                <c:pt idx="0">
                  <c:v>John</c:v>
                </c:pt>
                <c:pt idx="1">
                  <c:v>Bola</c:v>
                </c:pt>
                <c:pt idx="2">
                  <c:v>Emeka</c:v>
                </c:pt>
                <c:pt idx="3">
                  <c:v>Chioma</c:v>
                </c:pt>
                <c:pt idx="4">
                  <c:v>Fatima</c:v>
                </c:pt>
                <c:pt idx="5">
                  <c:v>Ade</c:v>
                </c:pt>
                <c:pt idx="6">
                  <c:v>Ngozi</c:v>
                </c:pt>
                <c:pt idx="7">
                  <c:v>Tunde</c:v>
                </c:pt>
              </c:strCache>
            </c:strRef>
          </c:cat>
          <c:val>
            <c:numRef>
              <c:f>pivot!$S$15:$S$23</c:f>
              <c:numCache>
                <c:formatCode>_-[$₦-46A]* #,##0.00_-;\-[$₦-46A]* #,##0.00_-;_-[$₦-46A]* "-"??_-;_-@_-</c:formatCode>
                <c:ptCount val="8"/>
                <c:pt idx="0">
                  <c:v>1553831</c:v>
                </c:pt>
                <c:pt idx="1">
                  <c:v>1500760</c:v>
                </c:pt>
                <c:pt idx="2">
                  <c:v>1337307</c:v>
                </c:pt>
                <c:pt idx="3">
                  <c:v>1324683</c:v>
                </c:pt>
                <c:pt idx="4">
                  <c:v>1276119</c:v>
                </c:pt>
                <c:pt idx="5">
                  <c:v>1269858</c:v>
                </c:pt>
                <c:pt idx="6">
                  <c:v>1217380</c:v>
                </c:pt>
                <c:pt idx="7">
                  <c:v>1191687</c:v>
                </c:pt>
              </c:numCache>
            </c:numRef>
          </c:val>
          <c:extLst>
            <c:ext xmlns:c16="http://schemas.microsoft.com/office/drawing/2014/chart" uri="{C3380CC4-5D6E-409C-BE32-E72D297353CC}">
              <c16:uniqueId val="{00000000-60B8-4FDE-857B-6C398B365AD2}"/>
            </c:ext>
          </c:extLst>
        </c:ser>
        <c:dLbls>
          <c:showLegendKey val="0"/>
          <c:showVal val="0"/>
          <c:showCatName val="0"/>
          <c:showSerName val="0"/>
          <c:showPercent val="0"/>
          <c:showBubbleSize val="0"/>
        </c:dLbls>
        <c:gapWidth val="150"/>
        <c:shape val="box"/>
        <c:axId val="1664218559"/>
        <c:axId val="1664228639"/>
        <c:axId val="1327952927"/>
      </c:bar3DChart>
      <c:catAx>
        <c:axId val="1664218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64228639"/>
        <c:crosses val="autoZero"/>
        <c:auto val="1"/>
        <c:lblAlgn val="ctr"/>
        <c:lblOffset val="100"/>
        <c:noMultiLvlLbl val="0"/>
      </c:catAx>
      <c:valAx>
        <c:axId val="1664228639"/>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64218559"/>
        <c:crosses val="autoZero"/>
        <c:crossBetween val="between"/>
      </c:valAx>
      <c:serAx>
        <c:axId val="13279529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642286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project(dashboard left).xlsx]pivot!PivotTable4</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aseline="0"/>
              <a:t> most profitable products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3000">
                <a:srgbClr val="6B3FA0"/>
              </a:gs>
              <a:gs pos="28000">
                <a:srgbClr val="B085F5"/>
              </a:gs>
              <a:gs pos="70000">
                <a:srgbClr val="8D99E9"/>
              </a:gs>
              <a:gs pos="87000">
                <a:srgbClr val="6CABDD"/>
              </a:gs>
            </a:gsLst>
            <a:lin ang="54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pivot!$N$55</c:f>
              <c:strCache>
                <c:ptCount val="1"/>
                <c:pt idx="0">
                  <c:v>Total</c:v>
                </c:pt>
              </c:strCache>
            </c:strRef>
          </c:tx>
          <c:spPr>
            <a:gradFill>
              <a:gsLst>
                <a:gs pos="3000">
                  <a:srgbClr val="6B3FA0"/>
                </a:gs>
                <a:gs pos="28000">
                  <a:srgbClr val="B085F5"/>
                </a:gs>
                <a:gs pos="70000">
                  <a:srgbClr val="8D99E9"/>
                </a:gs>
                <a:gs pos="87000">
                  <a:srgbClr val="6CABDD"/>
                </a:gs>
              </a:gsLst>
              <a:lin ang="5400000" scaled="1"/>
            </a:gradFill>
            <a:ln>
              <a:noFill/>
            </a:ln>
            <a:effectLst/>
            <a:sp3d/>
          </c:spPr>
          <c:invertIfNegative val="0"/>
          <c:cat>
            <c:strRef>
              <c:f>pivot!$M$56:$M$66</c:f>
              <c:strCache>
                <c:ptCount val="10"/>
                <c:pt idx="0">
                  <c:v>Bread</c:v>
                </c:pt>
                <c:pt idx="1">
                  <c:v>Beans</c:v>
                </c:pt>
                <c:pt idx="2">
                  <c:v>Soap</c:v>
                </c:pt>
                <c:pt idx="3">
                  <c:v>Milk</c:v>
                </c:pt>
                <c:pt idx="4">
                  <c:v>Soft Drink</c:v>
                </c:pt>
                <c:pt idx="5">
                  <c:v>Eggs</c:v>
                </c:pt>
                <c:pt idx="6">
                  <c:v>Plantain Chips</c:v>
                </c:pt>
                <c:pt idx="7">
                  <c:v>Yam</c:v>
                </c:pt>
                <c:pt idx="8">
                  <c:v>Rice</c:v>
                </c:pt>
                <c:pt idx="9">
                  <c:v>Butter</c:v>
                </c:pt>
              </c:strCache>
            </c:strRef>
          </c:cat>
          <c:val>
            <c:numRef>
              <c:f>pivot!$N$56:$N$66</c:f>
              <c:numCache>
                <c:formatCode>_-[$₦-46A]* #,##0.00_-;\-[$₦-46A]* #,##0.00_-;_-[$₦-46A]* "-"??_-;_-@_-</c:formatCode>
                <c:ptCount val="10"/>
                <c:pt idx="0">
                  <c:v>1233069</c:v>
                </c:pt>
                <c:pt idx="1">
                  <c:v>1191753</c:v>
                </c:pt>
                <c:pt idx="2">
                  <c:v>1170844</c:v>
                </c:pt>
                <c:pt idx="3">
                  <c:v>1152544</c:v>
                </c:pt>
                <c:pt idx="4">
                  <c:v>1072235</c:v>
                </c:pt>
                <c:pt idx="5">
                  <c:v>1048627</c:v>
                </c:pt>
                <c:pt idx="6">
                  <c:v>1006636</c:v>
                </c:pt>
                <c:pt idx="7">
                  <c:v>950911</c:v>
                </c:pt>
                <c:pt idx="8">
                  <c:v>940213</c:v>
                </c:pt>
                <c:pt idx="9">
                  <c:v>904793</c:v>
                </c:pt>
              </c:numCache>
            </c:numRef>
          </c:val>
          <c:extLst>
            <c:ext xmlns:c16="http://schemas.microsoft.com/office/drawing/2014/chart" uri="{C3380CC4-5D6E-409C-BE32-E72D297353CC}">
              <c16:uniqueId val="{00000000-8D6A-4A3F-BB1F-3C47799CDA34}"/>
            </c:ext>
          </c:extLst>
        </c:ser>
        <c:dLbls>
          <c:showLegendKey val="0"/>
          <c:showVal val="0"/>
          <c:showCatName val="0"/>
          <c:showSerName val="0"/>
          <c:showPercent val="0"/>
          <c:showBubbleSize val="0"/>
        </c:dLbls>
        <c:gapWidth val="150"/>
        <c:shape val="box"/>
        <c:axId val="1664222879"/>
        <c:axId val="1664226239"/>
        <c:axId val="1526735903"/>
      </c:bar3DChart>
      <c:catAx>
        <c:axId val="1664222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64226239"/>
        <c:crosses val="autoZero"/>
        <c:auto val="1"/>
        <c:lblAlgn val="ctr"/>
        <c:lblOffset val="100"/>
        <c:noMultiLvlLbl val="0"/>
      </c:catAx>
      <c:valAx>
        <c:axId val="1664226239"/>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64222879"/>
        <c:crosses val="autoZero"/>
        <c:crossBetween val="between"/>
      </c:valAx>
      <c:serAx>
        <c:axId val="15267359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6422623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1723"/>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 2'!A1"/><Relationship Id="rId3" Type="http://schemas.openxmlformats.org/officeDocument/2006/relationships/chart" Target="../charts/chart3.xml"/><Relationship Id="rId7" Type="http://schemas.openxmlformats.org/officeDocument/2006/relationships/hyperlink" Target="#dashboard1!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hyperlink" Target="#'dashboard 3 '!A1"/></Relationships>
</file>

<file path=xl/drawings/_rels/drawing2.xml.rels><?xml version="1.0" encoding="UTF-8" standalone="yes"?>
<Relationships xmlns="http://schemas.openxmlformats.org/package/2006/relationships"><Relationship Id="rId8" Type="http://schemas.openxmlformats.org/officeDocument/2006/relationships/hyperlink" Target="#dashboard1!A1"/><Relationship Id="rId3" Type="http://schemas.openxmlformats.org/officeDocument/2006/relationships/chart" Target="../charts/chart6.xml"/><Relationship Id="rId7" Type="http://schemas.openxmlformats.org/officeDocument/2006/relationships/hyperlink" Target="#dashboard!A1"/><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hyperlink" Target="#'dashboard 3 '!A1"/><Relationship Id="rId4" Type="http://schemas.openxmlformats.org/officeDocument/2006/relationships/chart" Target="../charts/chart7.xml"/><Relationship Id="rId9" Type="http://schemas.openxmlformats.org/officeDocument/2006/relationships/hyperlink" Target="#'dashboard 2'!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1!A1"/><Relationship Id="rId3" Type="http://schemas.openxmlformats.org/officeDocument/2006/relationships/chart" Target="../charts/chart10.xml"/><Relationship Id="rId7" Type="http://schemas.openxmlformats.org/officeDocument/2006/relationships/hyperlink" Target="#dashboard!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hyperlink" Target="#'dashboard 3 '!A1"/><Relationship Id="rId4" Type="http://schemas.openxmlformats.org/officeDocument/2006/relationships/chart" Target="../charts/chart11.xml"/><Relationship Id="rId9" Type="http://schemas.openxmlformats.org/officeDocument/2006/relationships/hyperlink" Target="#'dashboard 2'!A1"/></Relationships>
</file>

<file path=xl/drawings/_rels/drawing4.xml.rels><?xml version="1.0" encoding="UTF-8" standalone="yes"?>
<Relationships xmlns="http://schemas.openxmlformats.org/package/2006/relationships"><Relationship Id="rId8" Type="http://schemas.openxmlformats.org/officeDocument/2006/relationships/hyperlink" Target="#'dashboard 2'!A1"/><Relationship Id="rId3" Type="http://schemas.openxmlformats.org/officeDocument/2006/relationships/chart" Target="../charts/chart14.xml"/><Relationship Id="rId7" Type="http://schemas.openxmlformats.org/officeDocument/2006/relationships/hyperlink" Target="#dashboard1!A1"/><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hyperlink" Target="#'dashboard 3 '!A1"/></Relationships>
</file>

<file path=xl/drawings/drawing1.xml><?xml version="1.0" encoding="utf-8"?>
<xdr:wsDr xmlns:xdr="http://schemas.openxmlformats.org/drawingml/2006/spreadsheetDrawing" xmlns:a="http://schemas.openxmlformats.org/drawingml/2006/main">
  <xdr:twoCellAnchor>
    <xdr:from>
      <xdr:col>0</xdr:col>
      <xdr:colOff>25401</xdr:colOff>
      <xdr:row>0</xdr:row>
      <xdr:rowOff>0</xdr:rowOff>
    </xdr:from>
    <xdr:to>
      <xdr:col>23</xdr:col>
      <xdr:colOff>36496</xdr:colOff>
      <xdr:row>33</xdr:row>
      <xdr:rowOff>154224</xdr:rowOff>
    </xdr:to>
    <xdr:sp macro="" textlink="">
      <xdr:nvSpPr>
        <xdr:cNvPr id="2" name="Rectangle 1">
          <a:extLst>
            <a:ext uri="{FF2B5EF4-FFF2-40B4-BE49-F238E27FC236}">
              <a16:creationId xmlns:a16="http://schemas.microsoft.com/office/drawing/2014/main" id="{F3A9F765-E6AD-41AF-B096-0EB44526C0C5}"/>
            </a:ext>
          </a:extLst>
        </xdr:cNvPr>
        <xdr:cNvSpPr/>
      </xdr:nvSpPr>
      <xdr:spPr>
        <a:xfrm>
          <a:off x="25401" y="0"/>
          <a:ext cx="14045587" cy="6211529"/>
        </a:xfrm>
        <a:prstGeom prst="rect">
          <a:avLst/>
        </a:prstGeom>
        <a:solidFill>
          <a:srgbClr val="0C0B1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u="sng"/>
        </a:p>
      </xdr:txBody>
    </xdr:sp>
    <xdr:clientData/>
  </xdr:twoCellAnchor>
  <xdr:twoCellAnchor>
    <xdr:from>
      <xdr:col>0</xdr:col>
      <xdr:colOff>44824</xdr:colOff>
      <xdr:row>0</xdr:row>
      <xdr:rowOff>0</xdr:rowOff>
    </xdr:from>
    <xdr:to>
      <xdr:col>2</xdr:col>
      <xdr:colOff>458305</xdr:colOff>
      <xdr:row>33</xdr:row>
      <xdr:rowOff>145976</xdr:rowOff>
    </xdr:to>
    <xdr:sp macro="" textlink="">
      <xdr:nvSpPr>
        <xdr:cNvPr id="3" name="Rectangle 2">
          <a:extLst>
            <a:ext uri="{FF2B5EF4-FFF2-40B4-BE49-F238E27FC236}">
              <a16:creationId xmlns:a16="http://schemas.microsoft.com/office/drawing/2014/main" id="{1B602EEB-7F97-4DD3-90A0-91ADEEA779ED}"/>
            </a:ext>
          </a:extLst>
        </xdr:cNvPr>
        <xdr:cNvSpPr/>
      </xdr:nvSpPr>
      <xdr:spPr>
        <a:xfrm>
          <a:off x="44824" y="0"/>
          <a:ext cx="1628264" cy="6159150"/>
        </a:xfrm>
        <a:prstGeom prst="rect">
          <a:avLst/>
        </a:prstGeom>
        <a:gradFill>
          <a:gsLst>
            <a:gs pos="33000">
              <a:srgbClr val="0C0B10"/>
            </a:gs>
            <a:gs pos="61000">
              <a:srgbClr val="0C0B10"/>
            </a:gs>
            <a:gs pos="96000">
              <a:srgbClr val="6B3F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544932</xdr:colOff>
      <xdr:row>1</xdr:row>
      <xdr:rowOff>54669</xdr:rowOff>
    </xdr:from>
    <xdr:to>
      <xdr:col>9</xdr:col>
      <xdr:colOff>500482</xdr:colOff>
      <xdr:row>6</xdr:row>
      <xdr:rowOff>48318</xdr:rowOff>
    </xdr:to>
    <xdr:grpSp>
      <xdr:nvGrpSpPr>
        <xdr:cNvPr id="4" name="Group 3">
          <a:extLst>
            <a:ext uri="{FF2B5EF4-FFF2-40B4-BE49-F238E27FC236}">
              <a16:creationId xmlns:a16="http://schemas.microsoft.com/office/drawing/2014/main" id="{14FB61AB-2CCD-40A5-9C5C-A47388BF47AB}"/>
            </a:ext>
          </a:extLst>
        </xdr:cNvPr>
        <xdr:cNvGrpSpPr/>
      </xdr:nvGrpSpPr>
      <xdr:grpSpPr>
        <a:xfrm>
          <a:off x="4200993" y="240679"/>
          <a:ext cx="1783580" cy="923700"/>
          <a:chOff x="4413250" y="971550"/>
          <a:chExt cx="1784350" cy="914400"/>
        </a:xfrm>
        <a:solidFill>
          <a:srgbClr val="1A1723"/>
        </a:solidFill>
      </xdr:grpSpPr>
      <xdr:sp macro="" textlink="pivot!F33">
        <xdr:nvSpPr>
          <xdr:cNvPr id="5" name="Rectangle: Rounded Corners 4">
            <a:extLst>
              <a:ext uri="{FF2B5EF4-FFF2-40B4-BE49-F238E27FC236}">
                <a16:creationId xmlns:a16="http://schemas.microsoft.com/office/drawing/2014/main" id="{CB59B7CF-8770-C7BF-96DF-6D00BF194261}"/>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88E6B9B-CD42-44A4-9414-D9011F05DE5E}" type="TxLink">
              <a:rPr lang="en-US" sz="1800" b="1" i="0" u="none" strike="noStrike">
                <a:ln>
                  <a:noFill/>
                </a:ln>
                <a:solidFill>
                  <a:schemeClr val="bg1"/>
                </a:solidFill>
                <a:latin typeface="Calibri"/>
                <a:ea typeface="Calibri"/>
                <a:cs typeface="Calibri"/>
              </a:rPr>
              <a:pPr algn="ctr"/>
              <a:t> ₦36,014,075 </a:t>
            </a:fld>
            <a:endParaRPr lang="en-GB" sz="1800" b="1">
              <a:ln>
                <a:noFill/>
              </a:ln>
              <a:solidFill>
                <a:schemeClr val="bg1"/>
              </a:solidFill>
            </a:endParaRPr>
          </a:p>
        </xdr:txBody>
      </xdr:sp>
      <xdr:sp macro="" textlink="">
        <xdr:nvSpPr>
          <xdr:cNvPr id="6" name="TextBox 5">
            <a:extLst>
              <a:ext uri="{FF2B5EF4-FFF2-40B4-BE49-F238E27FC236}">
                <a16:creationId xmlns:a16="http://schemas.microsoft.com/office/drawing/2014/main" id="{31424C12-1EFF-F4E3-6A99-1012C31AB09C}"/>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bg1"/>
                </a:solidFill>
              </a:rPr>
              <a:t>    </a:t>
            </a:r>
            <a:r>
              <a:rPr lang="en-GB" sz="1800" b="1">
                <a:solidFill>
                  <a:schemeClr val="bg1"/>
                </a:solidFill>
              </a:rPr>
              <a:t>TOTAL SALES</a:t>
            </a:r>
          </a:p>
        </xdr:txBody>
      </xdr:sp>
    </xdr:grpSp>
    <xdr:clientData/>
  </xdr:twoCellAnchor>
  <xdr:twoCellAnchor>
    <xdr:from>
      <xdr:col>12</xdr:col>
      <xdr:colOff>379686</xdr:colOff>
      <xdr:row>1</xdr:row>
      <xdr:rowOff>54669</xdr:rowOff>
    </xdr:from>
    <xdr:to>
      <xdr:col>15</xdr:col>
      <xdr:colOff>335236</xdr:colOff>
      <xdr:row>6</xdr:row>
      <xdr:rowOff>48318</xdr:rowOff>
    </xdr:to>
    <xdr:grpSp>
      <xdr:nvGrpSpPr>
        <xdr:cNvPr id="7" name="Group 6">
          <a:extLst>
            <a:ext uri="{FF2B5EF4-FFF2-40B4-BE49-F238E27FC236}">
              <a16:creationId xmlns:a16="http://schemas.microsoft.com/office/drawing/2014/main" id="{2B7D385D-AAC9-4FDA-9337-8E13F5019973}"/>
            </a:ext>
          </a:extLst>
        </xdr:cNvPr>
        <xdr:cNvGrpSpPr/>
      </xdr:nvGrpSpPr>
      <xdr:grpSpPr>
        <a:xfrm>
          <a:off x="7691807" y="240679"/>
          <a:ext cx="1783581" cy="923700"/>
          <a:chOff x="4413250" y="971550"/>
          <a:chExt cx="1784350" cy="914400"/>
        </a:xfrm>
        <a:solidFill>
          <a:srgbClr val="1A1723"/>
        </a:solidFill>
      </xdr:grpSpPr>
      <xdr:sp macro="" textlink="pivot!S24">
        <xdr:nvSpPr>
          <xdr:cNvPr id="8" name="Rectangle: Rounded Corners 7">
            <a:extLst>
              <a:ext uri="{FF2B5EF4-FFF2-40B4-BE49-F238E27FC236}">
                <a16:creationId xmlns:a16="http://schemas.microsoft.com/office/drawing/2014/main" id="{BDA7861E-92C3-AD4C-8F57-E3378E339871}"/>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CF5533-CAF0-42E6-8CAB-1988CFC5B317}" type="TxLink">
              <a:rPr lang="en-US" sz="1800" b="1" i="0" u="none" strike="noStrike">
                <a:solidFill>
                  <a:schemeClr val="bg1"/>
                </a:solidFill>
                <a:latin typeface="Calibri"/>
                <a:ea typeface="Calibri"/>
                <a:cs typeface="Calibri"/>
              </a:rPr>
              <a:pPr algn="ctr"/>
              <a:t> ₦10,671,625 </a:t>
            </a:fld>
            <a:endParaRPr lang="en-GB" sz="1800" b="1">
              <a:solidFill>
                <a:schemeClr val="bg1"/>
              </a:solidFill>
            </a:endParaRPr>
          </a:p>
        </xdr:txBody>
      </xdr:sp>
      <xdr:sp macro="" textlink="">
        <xdr:nvSpPr>
          <xdr:cNvPr id="9" name="TextBox 8">
            <a:extLst>
              <a:ext uri="{FF2B5EF4-FFF2-40B4-BE49-F238E27FC236}">
                <a16:creationId xmlns:a16="http://schemas.microsoft.com/office/drawing/2014/main" id="{8F0ECF57-30BF-17F2-1846-7C0D2735491B}"/>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bg1"/>
                </a:solidFill>
              </a:rPr>
              <a:t>    </a:t>
            </a:r>
            <a:r>
              <a:rPr lang="en-GB" sz="1800" b="1">
                <a:solidFill>
                  <a:schemeClr val="bg1"/>
                </a:solidFill>
              </a:rPr>
              <a:t>TOTAL PROFIT</a:t>
            </a:r>
          </a:p>
        </xdr:txBody>
      </xdr:sp>
    </xdr:grpSp>
    <xdr:clientData/>
  </xdr:twoCellAnchor>
  <xdr:twoCellAnchor>
    <xdr:from>
      <xdr:col>18</xdr:col>
      <xdr:colOff>214440</xdr:colOff>
      <xdr:row>1</xdr:row>
      <xdr:rowOff>54669</xdr:rowOff>
    </xdr:from>
    <xdr:to>
      <xdr:col>21</xdr:col>
      <xdr:colOff>169990</xdr:colOff>
      <xdr:row>6</xdr:row>
      <xdr:rowOff>48318</xdr:rowOff>
    </xdr:to>
    <xdr:grpSp>
      <xdr:nvGrpSpPr>
        <xdr:cNvPr id="10" name="Group 9">
          <a:extLst>
            <a:ext uri="{FF2B5EF4-FFF2-40B4-BE49-F238E27FC236}">
              <a16:creationId xmlns:a16="http://schemas.microsoft.com/office/drawing/2014/main" id="{04EA6B4A-4B06-4432-A210-755138102C2B}"/>
            </a:ext>
          </a:extLst>
        </xdr:cNvPr>
        <xdr:cNvGrpSpPr/>
      </xdr:nvGrpSpPr>
      <xdr:grpSpPr>
        <a:xfrm>
          <a:off x="11182622" y="240679"/>
          <a:ext cx="1783580" cy="923700"/>
          <a:chOff x="4413250" y="971550"/>
          <a:chExt cx="1784350" cy="914400"/>
        </a:xfrm>
        <a:solidFill>
          <a:srgbClr val="1A1723"/>
        </a:solidFill>
      </xdr:grpSpPr>
      <xdr:sp macro="" textlink="pivot!O30">
        <xdr:nvSpPr>
          <xdr:cNvPr id="11" name="Rectangle: Rounded Corners 10">
            <a:extLst>
              <a:ext uri="{FF2B5EF4-FFF2-40B4-BE49-F238E27FC236}">
                <a16:creationId xmlns:a16="http://schemas.microsoft.com/office/drawing/2014/main" id="{5994D529-976D-74D9-5C7A-5106C51E3451}"/>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20B6D87-3453-4C56-B0EF-B282365507AB}" type="TxLink">
              <a:rPr lang="en-US" sz="1800" b="1" i="0" u="none" strike="noStrike">
                <a:solidFill>
                  <a:schemeClr val="bg1"/>
                </a:solidFill>
                <a:latin typeface="Calibri"/>
                <a:ea typeface="Calibri"/>
                <a:cs typeface="Calibri"/>
              </a:rPr>
              <a:pPr algn="ctr"/>
              <a:t> ₦25,342,450 </a:t>
            </a:fld>
            <a:endParaRPr lang="en-GB" sz="1800" b="1">
              <a:solidFill>
                <a:schemeClr val="bg1"/>
              </a:solidFill>
            </a:endParaRPr>
          </a:p>
        </xdr:txBody>
      </xdr:sp>
      <xdr:sp macro="" textlink="">
        <xdr:nvSpPr>
          <xdr:cNvPr id="12" name="TextBox 11">
            <a:extLst>
              <a:ext uri="{FF2B5EF4-FFF2-40B4-BE49-F238E27FC236}">
                <a16:creationId xmlns:a16="http://schemas.microsoft.com/office/drawing/2014/main" id="{7D6D8759-BA07-B7D1-061B-D4273DCABFD9}"/>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800" b="1">
                <a:solidFill>
                  <a:schemeClr val="bg1"/>
                </a:solidFill>
              </a:rPr>
              <a:t>    TOTAL COST</a:t>
            </a:r>
          </a:p>
        </xdr:txBody>
      </xdr:sp>
    </xdr:grpSp>
    <xdr:clientData/>
  </xdr:twoCellAnchor>
  <xdr:twoCellAnchor>
    <xdr:from>
      <xdr:col>5</xdr:col>
      <xdr:colOff>204368</xdr:colOff>
      <xdr:row>21</xdr:row>
      <xdr:rowOff>29195</xdr:rowOff>
    </xdr:from>
    <xdr:to>
      <xdr:col>22</xdr:col>
      <xdr:colOff>503621</xdr:colOff>
      <xdr:row>33</xdr:row>
      <xdr:rowOff>51091</xdr:rowOff>
    </xdr:to>
    <xdr:grpSp>
      <xdr:nvGrpSpPr>
        <xdr:cNvPr id="17" name="Group 16">
          <a:extLst>
            <a:ext uri="{FF2B5EF4-FFF2-40B4-BE49-F238E27FC236}">
              <a16:creationId xmlns:a16="http://schemas.microsoft.com/office/drawing/2014/main" id="{E48F0B74-C20B-4EE7-910D-EE8D8389DC0E}"/>
            </a:ext>
          </a:extLst>
        </xdr:cNvPr>
        <xdr:cNvGrpSpPr/>
      </xdr:nvGrpSpPr>
      <xdr:grpSpPr>
        <a:xfrm>
          <a:off x="3251085" y="3935407"/>
          <a:ext cx="10658092" cy="2254017"/>
          <a:chOff x="6933909" y="1567907"/>
          <a:chExt cx="5904769" cy="2716519"/>
        </a:xfrm>
        <a:solidFill>
          <a:srgbClr val="1A1723"/>
        </a:solidFill>
      </xdr:grpSpPr>
      <xdr:sp macro="" textlink="">
        <xdr:nvSpPr>
          <xdr:cNvPr id="18" name="Rectangle: Rounded Corners 24">
            <a:extLst>
              <a:ext uri="{FF2B5EF4-FFF2-40B4-BE49-F238E27FC236}">
                <a16:creationId xmlns:a16="http://schemas.microsoft.com/office/drawing/2014/main" id="{4A8B0046-FC93-5670-22EE-E441D3D7E9F5}"/>
              </a:ext>
            </a:extLst>
          </xdr:cNvPr>
          <xdr:cNvSpPr/>
        </xdr:nvSpPr>
        <xdr:spPr>
          <a:xfrm>
            <a:off x="6933909" y="1567907"/>
            <a:ext cx="5904769" cy="2716519"/>
          </a:xfrm>
          <a:prstGeom prst="rect">
            <a:avLst/>
          </a:prstGeom>
          <a:grpFill/>
          <a:ln>
            <a:solidFill>
              <a:srgbClr val="1A17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a:p>
        </xdr:txBody>
      </xdr:sp>
      <xdr:graphicFrame macro="">
        <xdr:nvGraphicFramePr>
          <xdr:cNvPr id="19" name="Chart 2">
            <a:extLst>
              <a:ext uri="{FF2B5EF4-FFF2-40B4-BE49-F238E27FC236}">
                <a16:creationId xmlns:a16="http://schemas.microsoft.com/office/drawing/2014/main" id="{21B1A696-6437-D851-855D-4A20205F52A8}"/>
              </a:ext>
            </a:extLst>
          </xdr:cNvPr>
          <xdr:cNvGraphicFramePr/>
        </xdr:nvGraphicFramePr>
        <xdr:xfrm>
          <a:off x="7070574" y="1645131"/>
          <a:ext cx="5723887" cy="242033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5</xdr:col>
      <xdr:colOff>204368</xdr:colOff>
      <xdr:row>6</xdr:row>
      <xdr:rowOff>160575</xdr:rowOff>
    </xdr:from>
    <xdr:to>
      <xdr:col>22</xdr:col>
      <xdr:colOff>510919</xdr:colOff>
      <xdr:row>20</xdr:row>
      <xdr:rowOff>58391</xdr:rowOff>
    </xdr:to>
    <xdr:sp macro="" textlink="">
      <xdr:nvSpPr>
        <xdr:cNvPr id="20" name="Rectangle: Rounded Corners 27">
          <a:extLst>
            <a:ext uri="{FF2B5EF4-FFF2-40B4-BE49-F238E27FC236}">
              <a16:creationId xmlns:a16="http://schemas.microsoft.com/office/drawing/2014/main" id="{E19BB6E1-FFAA-45B9-B4BE-263838D65CFE}"/>
            </a:ext>
          </a:extLst>
        </xdr:cNvPr>
        <xdr:cNvSpPr/>
      </xdr:nvSpPr>
      <xdr:spPr>
        <a:xfrm>
          <a:off x="3267309" y="1281163"/>
          <a:ext cx="10720551" cy="2512522"/>
        </a:xfrm>
        <a:prstGeom prst="rect">
          <a:avLst/>
        </a:prstGeom>
        <a:solidFill>
          <a:srgbClr val="1A1723"/>
        </a:solidFill>
        <a:ln>
          <a:solidFill>
            <a:srgbClr val="1A17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12</xdr:col>
      <xdr:colOff>65298</xdr:colOff>
      <xdr:row>7</xdr:row>
      <xdr:rowOff>58391</xdr:rowOff>
    </xdr:from>
    <xdr:to>
      <xdr:col>22</xdr:col>
      <xdr:colOff>437930</xdr:colOff>
      <xdr:row>20</xdr:row>
      <xdr:rowOff>102184</xdr:rowOff>
    </xdr:to>
    <xdr:graphicFrame macro="">
      <xdr:nvGraphicFramePr>
        <xdr:cNvPr id="21" name="Chart 3">
          <a:extLst>
            <a:ext uri="{FF2B5EF4-FFF2-40B4-BE49-F238E27FC236}">
              <a16:creationId xmlns:a16="http://schemas.microsoft.com/office/drawing/2014/main" id="{C6881383-59A1-4CD5-B0E8-F90FB08DC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218965</xdr:colOff>
      <xdr:row>6</xdr:row>
      <xdr:rowOff>167470</xdr:rowOff>
    </xdr:from>
    <xdr:to>
      <xdr:col>11</xdr:col>
      <xdr:colOff>486887</xdr:colOff>
      <xdr:row>20</xdr:row>
      <xdr:rowOff>1</xdr:rowOff>
    </xdr:to>
    <xdr:graphicFrame macro="">
      <xdr:nvGraphicFramePr>
        <xdr:cNvPr id="22" name="Chart 4">
          <a:extLst>
            <a:ext uri="{FF2B5EF4-FFF2-40B4-BE49-F238E27FC236}">
              <a16:creationId xmlns:a16="http://schemas.microsoft.com/office/drawing/2014/main" id="{4A263D8A-7D98-4EE7-9890-5BBE4421C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425824</xdr:colOff>
      <xdr:row>6</xdr:row>
      <xdr:rowOff>14941</xdr:rowOff>
    </xdr:to>
    <xdr:pic>
      <xdr:nvPicPr>
        <xdr:cNvPr id="25" name="Graphic 24" descr="Unfollow with solid fill">
          <a:extLst>
            <a:ext uri="{FF2B5EF4-FFF2-40B4-BE49-F238E27FC236}">
              <a16:creationId xmlns:a16="http://schemas.microsoft.com/office/drawing/2014/main" id="{D827F464-753D-4BBF-B2FC-19B6418B6CF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0"/>
          <a:ext cx="1651000" cy="1135529"/>
        </a:xfrm>
        <a:prstGeom prst="rect">
          <a:avLst/>
        </a:prstGeom>
      </xdr:spPr>
    </xdr:pic>
    <xdr:clientData/>
  </xdr:twoCellAnchor>
  <xdr:twoCellAnchor>
    <xdr:from>
      <xdr:col>0</xdr:col>
      <xdr:colOff>47765</xdr:colOff>
      <xdr:row>6</xdr:row>
      <xdr:rowOff>97152</xdr:rowOff>
    </xdr:from>
    <xdr:to>
      <xdr:col>2</xdr:col>
      <xdr:colOff>309072</xdr:colOff>
      <xdr:row>10</xdr:row>
      <xdr:rowOff>44956</xdr:rowOff>
    </xdr:to>
    <xdr:grpSp>
      <xdr:nvGrpSpPr>
        <xdr:cNvPr id="23" name="Group 22">
          <a:extLst>
            <a:ext uri="{FF2B5EF4-FFF2-40B4-BE49-F238E27FC236}">
              <a16:creationId xmlns:a16="http://schemas.microsoft.com/office/drawing/2014/main" id="{0493308A-CA90-C6D4-4641-3358049BF74D}"/>
            </a:ext>
          </a:extLst>
        </xdr:cNvPr>
        <xdr:cNvGrpSpPr/>
      </xdr:nvGrpSpPr>
      <xdr:grpSpPr>
        <a:xfrm>
          <a:off x="47765" y="1213213"/>
          <a:ext cx="1479994" cy="691844"/>
          <a:chOff x="52294" y="1927412"/>
          <a:chExt cx="1441824" cy="732117"/>
        </a:xfrm>
      </xdr:grpSpPr>
      <xdr:sp macro="" textlink="">
        <xdr:nvSpPr>
          <xdr:cNvPr id="13" name="Rectangle: Rounded Corners 12">
            <a:extLst>
              <a:ext uri="{FF2B5EF4-FFF2-40B4-BE49-F238E27FC236}">
                <a16:creationId xmlns:a16="http://schemas.microsoft.com/office/drawing/2014/main" id="{034CED1D-4DEF-B1B9-24BF-18977D2EFFEE}"/>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6" name="TextBox 15">
            <a:hlinkClick xmlns:r="http://schemas.openxmlformats.org/officeDocument/2006/relationships" r:id="rId6"/>
            <a:extLst>
              <a:ext uri="{FF2B5EF4-FFF2-40B4-BE49-F238E27FC236}">
                <a16:creationId xmlns:a16="http://schemas.microsoft.com/office/drawing/2014/main" id="{C2D12B75-D81A-18E6-3944-7D3CD4BA1CA0}"/>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a:t>
            </a:r>
            <a:endParaRPr lang="en-GB" sz="1600" b="1">
              <a:solidFill>
                <a:schemeClr val="bg1"/>
              </a:solidFill>
            </a:endParaRPr>
          </a:p>
        </xdr:txBody>
      </xdr:sp>
    </xdr:grpSp>
    <xdr:clientData/>
  </xdr:twoCellAnchor>
  <xdr:twoCellAnchor>
    <xdr:from>
      <xdr:col>0</xdr:col>
      <xdr:colOff>53223</xdr:colOff>
      <xdr:row>10</xdr:row>
      <xdr:rowOff>25578</xdr:rowOff>
    </xdr:from>
    <xdr:to>
      <xdr:col>2</xdr:col>
      <xdr:colOff>269871</xdr:colOff>
      <xdr:row>14</xdr:row>
      <xdr:rowOff>10637</xdr:rowOff>
    </xdr:to>
    <xdr:grpSp>
      <xdr:nvGrpSpPr>
        <xdr:cNvPr id="34" name="Group 33">
          <a:extLst>
            <a:ext uri="{FF2B5EF4-FFF2-40B4-BE49-F238E27FC236}">
              <a16:creationId xmlns:a16="http://schemas.microsoft.com/office/drawing/2014/main" id="{31A5E44A-F680-4452-9617-CF5454E5BE5E}"/>
            </a:ext>
          </a:extLst>
        </xdr:cNvPr>
        <xdr:cNvGrpSpPr/>
      </xdr:nvGrpSpPr>
      <xdr:grpSpPr>
        <a:xfrm>
          <a:off x="53223" y="1885679"/>
          <a:ext cx="1435335" cy="729099"/>
          <a:chOff x="52294" y="1927412"/>
          <a:chExt cx="1441824" cy="732117"/>
        </a:xfrm>
      </xdr:grpSpPr>
      <xdr:sp macro="" textlink="">
        <xdr:nvSpPr>
          <xdr:cNvPr id="35" name="Rectangle: Rounded Corners 34">
            <a:extLst>
              <a:ext uri="{FF2B5EF4-FFF2-40B4-BE49-F238E27FC236}">
                <a16:creationId xmlns:a16="http://schemas.microsoft.com/office/drawing/2014/main" id="{9276394C-939A-B89A-B66D-F4E720F21E80}"/>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6" name="TextBox 35">
            <a:hlinkClick xmlns:r="http://schemas.openxmlformats.org/officeDocument/2006/relationships" r:id="rId7"/>
            <a:extLst>
              <a:ext uri="{FF2B5EF4-FFF2-40B4-BE49-F238E27FC236}">
                <a16:creationId xmlns:a16="http://schemas.microsoft.com/office/drawing/2014/main" id="{0332B473-6B5D-84E0-939A-AFBB1E115F2E}"/>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1</a:t>
            </a:r>
          </a:p>
        </xdr:txBody>
      </xdr:sp>
    </xdr:grpSp>
    <xdr:clientData/>
  </xdr:twoCellAnchor>
  <xdr:twoCellAnchor>
    <xdr:from>
      <xdr:col>0</xdr:col>
      <xdr:colOff>53254</xdr:colOff>
      <xdr:row>13</xdr:row>
      <xdr:rowOff>144576</xdr:rowOff>
    </xdr:from>
    <xdr:to>
      <xdr:col>2</xdr:col>
      <xdr:colOff>269902</xdr:colOff>
      <xdr:row>17</xdr:row>
      <xdr:rowOff>129634</xdr:rowOff>
    </xdr:to>
    <xdr:grpSp>
      <xdr:nvGrpSpPr>
        <xdr:cNvPr id="37" name="Group 36">
          <a:extLst>
            <a:ext uri="{FF2B5EF4-FFF2-40B4-BE49-F238E27FC236}">
              <a16:creationId xmlns:a16="http://schemas.microsoft.com/office/drawing/2014/main" id="{276495A0-E2E5-40D1-A77F-450E8A14917B}"/>
            </a:ext>
          </a:extLst>
        </xdr:cNvPr>
        <xdr:cNvGrpSpPr/>
      </xdr:nvGrpSpPr>
      <xdr:grpSpPr>
        <a:xfrm>
          <a:off x="53254" y="2562707"/>
          <a:ext cx="1435335" cy="729099"/>
          <a:chOff x="52294" y="1927412"/>
          <a:chExt cx="1441824" cy="732117"/>
        </a:xfrm>
      </xdr:grpSpPr>
      <xdr:sp macro="" textlink="">
        <xdr:nvSpPr>
          <xdr:cNvPr id="38" name="Rectangle: Rounded Corners 37">
            <a:extLst>
              <a:ext uri="{FF2B5EF4-FFF2-40B4-BE49-F238E27FC236}">
                <a16:creationId xmlns:a16="http://schemas.microsoft.com/office/drawing/2014/main" id="{D4686BC5-2DA3-AA1B-9FC9-2CD31D346AC6}"/>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9" name="TextBox 38">
            <a:hlinkClick xmlns:r="http://schemas.openxmlformats.org/officeDocument/2006/relationships" r:id="rId8"/>
            <a:extLst>
              <a:ext uri="{FF2B5EF4-FFF2-40B4-BE49-F238E27FC236}">
                <a16:creationId xmlns:a16="http://schemas.microsoft.com/office/drawing/2014/main" id="{FD29528E-62EA-0C62-3F66-2B2D1DC13EE0}"/>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2</a:t>
            </a:r>
            <a:endParaRPr lang="en-GB" sz="1600" b="1">
              <a:solidFill>
                <a:schemeClr val="bg1"/>
              </a:solidFill>
            </a:endParaRPr>
          </a:p>
        </xdr:txBody>
      </xdr:sp>
    </xdr:grpSp>
    <xdr:clientData/>
  </xdr:twoCellAnchor>
  <xdr:twoCellAnchor>
    <xdr:from>
      <xdr:col>0</xdr:col>
      <xdr:colOff>44180</xdr:colOff>
      <xdr:row>17</xdr:row>
      <xdr:rowOff>78621</xdr:rowOff>
    </xdr:from>
    <xdr:to>
      <xdr:col>2</xdr:col>
      <xdr:colOff>260828</xdr:colOff>
      <xdr:row>21</xdr:row>
      <xdr:rowOff>63679</xdr:rowOff>
    </xdr:to>
    <xdr:grpSp>
      <xdr:nvGrpSpPr>
        <xdr:cNvPr id="40" name="Group 39">
          <a:extLst>
            <a:ext uri="{FF2B5EF4-FFF2-40B4-BE49-F238E27FC236}">
              <a16:creationId xmlns:a16="http://schemas.microsoft.com/office/drawing/2014/main" id="{059C937D-B592-4478-BBD8-9B720CB6495F}"/>
            </a:ext>
          </a:extLst>
        </xdr:cNvPr>
        <xdr:cNvGrpSpPr/>
      </xdr:nvGrpSpPr>
      <xdr:grpSpPr>
        <a:xfrm>
          <a:off x="44180" y="3240793"/>
          <a:ext cx="1435335" cy="729098"/>
          <a:chOff x="52294" y="1927412"/>
          <a:chExt cx="1441824" cy="732117"/>
        </a:xfrm>
      </xdr:grpSpPr>
      <xdr:sp macro="" textlink="">
        <xdr:nvSpPr>
          <xdr:cNvPr id="41" name="Rectangle: Rounded Corners 40">
            <a:extLst>
              <a:ext uri="{FF2B5EF4-FFF2-40B4-BE49-F238E27FC236}">
                <a16:creationId xmlns:a16="http://schemas.microsoft.com/office/drawing/2014/main" id="{0125462E-41AD-1384-D6E7-8ABEE7D59DB7}"/>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2" name="TextBox 41">
            <a:hlinkClick xmlns:r="http://schemas.openxmlformats.org/officeDocument/2006/relationships" r:id="rId9"/>
            <a:extLst>
              <a:ext uri="{FF2B5EF4-FFF2-40B4-BE49-F238E27FC236}">
                <a16:creationId xmlns:a16="http://schemas.microsoft.com/office/drawing/2014/main" id="{E74FC891-C2E4-EE89-E721-3658864BD747}"/>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3</a:t>
            </a:r>
            <a:endParaRPr lang="en-GB" sz="1600" b="1">
              <a:solidFill>
                <a:schemeClr val="bg1"/>
              </a:solidFill>
            </a:endParaRPr>
          </a:p>
        </xdr:txBody>
      </xdr:sp>
    </xdr:grpSp>
    <xdr:clientData/>
  </xdr:twoCellAnchor>
  <xdr:twoCellAnchor>
    <xdr:from>
      <xdr:col>0</xdr:col>
      <xdr:colOff>44174</xdr:colOff>
      <xdr:row>22</xdr:row>
      <xdr:rowOff>49695</xdr:rowOff>
    </xdr:from>
    <xdr:to>
      <xdr:col>2</xdr:col>
      <xdr:colOff>381000</xdr:colOff>
      <xdr:row>26</xdr:row>
      <xdr:rowOff>88348</xdr:rowOff>
    </xdr:to>
    <xdr:sp macro="" textlink="">
      <xdr:nvSpPr>
        <xdr:cNvPr id="51" name="TextBox 50">
          <a:extLst>
            <a:ext uri="{FF2B5EF4-FFF2-40B4-BE49-F238E27FC236}">
              <a16:creationId xmlns:a16="http://schemas.microsoft.com/office/drawing/2014/main" id="{F57DE942-4D60-EB6A-10F6-1A21E69385D0}"/>
            </a:ext>
          </a:extLst>
        </xdr:cNvPr>
        <xdr:cNvSpPr txBox="1"/>
      </xdr:nvSpPr>
      <xdr:spPr>
        <a:xfrm>
          <a:off x="44174" y="4058478"/>
          <a:ext cx="1551609" cy="767522"/>
        </a:xfrm>
        <a:prstGeom prst="rect">
          <a:avLst/>
        </a:prstGeom>
        <a:solidFill>
          <a:srgbClr val="1A1723">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u="sng">
              <a:solidFill>
                <a:schemeClr val="bg1"/>
              </a:solidFill>
            </a:rPr>
            <a:t>click</a:t>
          </a:r>
          <a:r>
            <a:rPr lang="en-GB" sz="2000" b="1" u="sng" baseline="0">
              <a:solidFill>
                <a:schemeClr val="bg1"/>
              </a:solidFill>
            </a:rPr>
            <a:t> above to interact</a:t>
          </a:r>
          <a:endParaRPr lang="en-GB" sz="2000" b="1" u="sng">
            <a:solidFill>
              <a:schemeClr val="bg1"/>
            </a:solidFill>
          </a:endParaRPr>
        </a:p>
      </xdr:txBody>
    </xdr:sp>
    <xdr:clientData/>
  </xdr:twoCellAnchor>
  <xdr:twoCellAnchor editAs="oneCell">
    <xdr:from>
      <xdr:col>2</xdr:col>
      <xdr:colOff>416396</xdr:colOff>
      <xdr:row>1</xdr:row>
      <xdr:rowOff>26394</xdr:rowOff>
    </xdr:from>
    <xdr:to>
      <xdr:col>5</xdr:col>
      <xdr:colOff>167472</xdr:colOff>
      <xdr:row>8</xdr:row>
      <xdr:rowOff>42495</xdr:rowOff>
    </xdr:to>
    <mc:AlternateContent xmlns:mc="http://schemas.openxmlformats.org/markup-compatibility/2006" xmlns:a14="http://schemas.microsoft.com/office/drawing/2010/main">
      <mc:Choice Requires="a14">
        <xdr:graphicFrame macro="">
          <xdr:nvGraphicFramePr>
            <xdr:cNvPr id="59" name="Region">
              <a:extLst>
                <a:ext uri="{FF2B5EF4-FFF2-40B4-BE49-F238E27FC236}">
                  <a16:creationId xmlns:a16="http://schemas.microsoft.com/office/drawing/2014/main" id="{797B693C-DD3F-47EB-902F-C2FA76F4AB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5083" y="212404"/>
              <a:ext cx="1579106" cy="13181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470690</xdr:colOff>
      <xdr:row>8</xdr:row>
      <xdr:rowOff>1</xdr:rowOff>
    </xdr:from>
    <xdr:to>
      <xdr:col>5</xdr:col>
      <xdr:colOff>191569</xdr:colOff>
      <xdr:row>16</xdr:row>
      <xdr:rowOff>133210</xdr:rowOff>
    </xdr:to>
    <mc:AlternateContent xmlns:mc="http://schemas.openxmlformats.org/markup-compatibility/2006" xmlns:a14="http://schemas.microsoft.com/office/drawing/2010/main">
      <mc:Choice Requires="a14">
        <xdr:graphicFrame macro="">
          <xdr:nvGraphicFramePr>
            <xdr:cNvPr id="61" name="Salesperson">
              <a:extLst>
                <a:ext uri="{FF2B5EF4-FFF2-40B4-BE49-F238E27FC236}">
                  <a16:creationId xmlns:a16="http://schemas.microsoft.com/office/drawing/2014/main" id="{37A816D5-583D-4047-8E33-DCA6ABC938A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689377" y="1488082"/>
              <a:ext cx="1548909" cy="16212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474504</xdr:colOff>
      <xdr:row>16</xdr:row>
      <xdr:rowOff>153515</xdr:rowOff>
    </xdr:from>
    <xdr:to>
      <xdr:col>5</xdr:col>
      <xdr:colOff>167471</xdr:colOff>
      <xdr:row>24</xdr:row>
      <xdr:rowOff>119253</xdr:rowOff>
    </xdr:to>
    <mc:AlternateContent xmlns:mc="http://schemas.openxmlformats.org/markup-compatibility/2006" xmlns:a14="http://schemas.microsoft.com/office/drawing/2010/main">
      <mc:Choice Requires="a14">
        <xdr:graphicFrame macro="">
          <xdr:nvGraphicFramePr>
            <xdr:cNvPr id="64" name="Product">
              <a:extLst>
                <a:ext uri="{FF2B5EF4-FFF2-40B4-BE49-F238E27FC236}">
                  <a16:creationId xmlns:a16="http://schemas.microsoft.com/office/drawing/2014/main" id="{6D692DEC-B1E8-4554-AAA5-B68BC7E48FB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93191" y="3129677"/>
              <a:ext cx="1520997" cy="14538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450408</xdr:colOff>
      <xdr:row>24</xdr:row>
      <xdr:rowOff>147167</xdr:rowOff>
    </xdr:from>
    <xdr:to>
      <xdr:col>5</xdr:col>
      <xdr:colOff>187754</xdr:colOff>
      <xdr:row>33</xdr:row>
      <xdr:rowOff>119254</xdr:rowOff>
    </xdr:to>
    <mc:AlternateContent xmlns:mc="http://schemas.openxmlformats.org/markup-compatibility/2006" xmlns:a14="http://schemas.microsoft.com/office/drawing/2010/main">
      <mc:Choice Requires="a14">
        <xdr:graphicFrame macro="">
          <xdr:nvGraphicFramePr>
            <xdr:cNvPr id="66" name="Category">
              <a:extLst>
                <a:ext uri="{FF2B5EF4-FFF2-40B4-BE49-F238E27FC236}">
                  <a16:creationId xmlns:a16="http://schemas.microsoft.com/office/drawing/2014/main" id="{BC619CDC-3C94-4A22-9EE0-4FCAC907C4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69095" y="4611409"/>
              <a:ext cx="1565376" cy="16461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7300</xdr:colOff>
      <xdr:row>33</xdr:row>
      <xdr:rowOff>154224</xdr:rowOff>
    </xdr:to>
    <xdr:sp macro="" textlink="">
      <xdr:nvSpPr>
        <xdr:cNvPr id="2" name="Rectangle 1">
          <a:extLst>
            <a:ext uri="{FF2B5EF4-FFF2-40B4-BE49-F238E27FC236}">
              <a16:creationId xmlns:a16="http://schemas.microsoft.com/office/drawing/2014/main" id="{E2782075-12C0-4DDA-9CEB-13F439A59697}"/>
            </a:ext>
          </a:extLst>
        </xdr:cNvPr>
        <xdr:cNvSpPr/>
      </xdr:nvSpPr>
      <xdr:spPr>
        <a:xfrm>
          <a:off x="0" y="0"/>
          <a:ext cx="14631542" cy="6292557"/>
        </a:xfrm>
        <a:prstGeom prst="rect">
          <a:avLst/>
        </a:prstGeom>
        <a:solidFill>
          <a:srgbClr val="0C0B10"/>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u="sng"/>
        </a:p>
      </xdr:txBody>
    </xdr:sp>
    <xdr:clientData/>
  </xdr:twoCellAnchor>
  <xdr:twoCellAnchor>
    <xdr:from>
      <xdr:col>0</xdr:col>
      <xdr:colOff>1</xdr:colOff>
      <xdr:row>0</xdr:row>
      <xdr:rowOff>58391</xdr:rowOff>
    </xdr:from>
    <xdr:to>
      <xdr:col>2</xdr:col>
      <xdr:colOff>262759</xdr:colOff>
      <xdr:row>33</xdr:row>
      <xdr:rowOff>153940</xdr:rowOff>
    </xdr:to>
    <xdr:sp macro="" textlink="">
      <xdr:nvSpPr>
        <xdr:cNvPr id="3" name="Rectangle 2">
          <a:extLst>
            <a:ext uri="{FF2B5EF4-FFF2-40B4-BE49-F238E27FC236}">
              <a16:creationId xmlns:a16="http://schemas.microsoft.com/office/drawing/2014/main" id="{E12C3DB8-D102-4B2A-8BE1-50FEF125E066}"/>
            </a:ext>
          </a:extLst>
        </xdr:cNvPr>
        <xdr:cNvSpPr/>
      </xdr:nvSpPr>
      <xdr:spPr>
        <a:xfrm>
          <a:off x="1" y="58391"/>
          <a:ext cx="1481445" cy="6233882"/>
        </a:xfrm>
        <a:prstGeom prst="rect">
          <a:avLst/>
        </a:prstGeom>
        <a:gradFill>
          <a:gsLst>
            <a:gs pos="33000">
              <a:srgbClr val="0C0B10"/>
            </a:gs>
            <a:gs pos="61000">
              <a:srgbClr val="0C0B10"/>
            </a:gs>
            <a:gs pos="96000">
              <a:srgbClr val="6B3FA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544931</xdr:colOff>
      <xdr:row>1</xdr:row>
      <xdr:rowOff>54669</xdr:rowOff>
    </xdr:from>
    <xdr:to>
      <xdr:col>9</xdr:col>
      <xdr:colOff>500481</xdr:colOff>
      <xdr:row>6</xdr:row>
      <xdr:rowOff>48318</xdr:rowOff>
    </xdr:to>
    <xdr:grpSp>
      <xdr:nvGrpSpPr>
        <xdr:cNvPr id="14" name="Group 3">
          <a:extLst>
            <a:ext uri="{FF2B5EF4-FFF2-40B4-BE49-F238E27FC236}">
              <a16:creationId xmlns:a16="http://schemas.microsoft.com/office/drawing/2014/main" id="{C0827429-7BA7-45E9-B587-182ABD2C8E10}"/>
            </a:ext>
          </a:extLst>
        </xdr:cNvPr>
        <xdr:cNvGrpSpPr/>
      </xdr:nvGrpSpPr>
      <xdr:grpSpPr>
        <a:xfrm>
          <a:off x="4200992" y="240679"/>
          <a:ext cx="1783580" cy="923700"/>
          <a:chOff x="4413249" y="971550"/>
          <a:chExt cx="1784350" cy="914400"/>
        </a:xfrm>
        <a:solidFill>
          <a:srgbClr val="1A1723"/>
        </a:solidFill>
      </xdr:grpSpPr>
      <xdr:sp macro="" textlink="pivot!F33">
        <xdr:nvSpPr>
          <xdr:cNvPr id="15" name="Rectangle: Rounded Corners 4">
            <a:extLst>
              <a:ext uri="{FF2B5EF4-FFF2-40B4-BE49-F238E27FC236}">
                <a16:creationId xmlns:a16="http://schemas.microsoft.com/office/drawing/2014/main" id="{85F9F152-1344-5BF7-C557-B549A17484BE}"/>
              </a:ext>
            </a:extLst>
          </xdr:cNvPr>
          <xdr:cNvSpPr/>
        </xdr:nvSpPr>
        <xdr:spPr>
          <a:xfrm>
            <a:off x="4413249"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88E6B9B-CD42-44A4-9414-D9011F05DE5E}" type="TxLink">
              <a:rPr lang="en-US" sz="1800" b="1" i="0" u="none" strike="noStrike">
                <a:solidFill>
                  <a:schemeClr val="bg1"/>
                </a:solidFill>
                <a:latin typeface="Calibri"/>
                <a:ea typeface="Calibri"/>
                <a:cs typeface="Calibri"/>
              </a:rPr>
              <a:pPr algn="ctr"/>
              <a:t> ₦36,014,075 </a:t>
            </a:fld>
            <a:endParaRPr lang="en-GB" sz="1800" b="1">
              <a:solidFill>
                <a:schemeClr val="bg1"/>
              </a:solidFill>
            </a:endParaRPr>
          </a:p>
        </xdr:txBody>
      </xdr:sp>
      <xdr:sp macro="" textlink="">
        <xdr:nvSpPr>
          <xdr:cNvPr id="16" name="TextBox 5">
            <a:extLst>
              <a:ext uri="{FF2B5EF4-FFF2-40B4-BE49-F238E27FC236}">
                <a16:creationId xmlns:a16="http://schemas.microsoft.com/office/drawing/2014/main" id="{7801833F-B55B-AB8A-F778-00724AC1F094}"/>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bg1"/>
                </a:solidFill>
              </a:rPr>
              <a:t>    </a:t>
            </a:r>
            <a:r>
              <a:rPr lang="en-GB" sz="1800" b="1">
                <a:solidFill>
                  <a:schemeClr val="bg1"/>
                </a:solidFill>
              </a:rPr>
              <a:t>TOTAL SALES</a:t>
            </a:r>
          </a:p>
        </xdr:txBody>
      </xdr:sp>
    </xdr:grpSp>
    <xdr:clientData/>
  </xdr:twoCellAnchor>
  <xdr:twoCellAnchor>
    <xdr:from>
      <xdr:col>12</xdr:col>
      <xdr:colOff>379686</xdr:colOff>
      <xdr:row>1</xdr:row>
      <xdr:rowOff>54669</xdr:rowOff>
    </xdr:from>
    <xdr:to>
      <xdr:col>15</xdr:col>
      <xdr:colOff>335236</xdr:colOff>
      <xdr:row>6</xdr:row>
      <xdr:rowOff>48318</xdr:rowOff>
    </xdr:to>
    <xdr:grpSp>
      <xdr:nvGrpSpPr>
        <xdr:cNvPr id="7" name="Group 6">
          <a:extLst>
            <a:ext uri="{FF2B5EF4-FFF2-40B4-BE49-F238E27FC236}">
              <a16:creationId xmlns:a16="http://schemas.microsoft.com/office/drawing/2014/main" id="{54708222-FD51-4583-96B5-8892A58481E5}"/>
            </a:ext>
          </a:extLst>
        </xdr:cNvPr>
        <xdr:cNvGrpSpPr/>
      </xdr:nvGrpSpPr>
      <xdr:grpSpPr>
        <a:xfrm>
          <a:off x="7691807" y="240679"/>
          <a:ext cx="1783581" cy="923700"/>
          <a:chOff x="4413250" y="971550"/>
          <a:chExt cx="1784350" cy="914400"/>
        </a:xfrm>
        <a:solidFill>
          <a:srgbClr val="1A1723"/>
        </a:solidFill>
      </xdr:grpSpPr>
      <xdr:sp macro="" textlink="pivot!S24">
        <xdr:nvSpPr>
          <xdr:cNvPr id="8" name="Rectangle: Rounded Corners 7">
            <a:extLst>
              <a:ext uri="{FF2B5EF4-FFF2-40B4-BE49-F238E27FC236}">
                <a16:creationId xmlns:a16="http://schemas.microsoft.com/office/drawing/2014/main" id="{ECF97978-5634-B300-AA3C-29DD3C220BB3}"/>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CF5533-CAF0-42E6-8CAB-1988CFC5B317}" type="TxLink">
              <a:rPr lang="en-US" sz="1800" b="1" i="0" u="none" strike="noStrike">
                <a:solidFill>
                  <a:schemeClr val="bg1"/>
                </a:solidFill>
                <a:latin typeface="Calibri"/>
                <a:ea typeface="Calibri"/>
                <a:cs typeface="Calibri"/>
              </a:rPr>
              <a:pPr algn="ctr"/>
              <a:t> ₦10,671,625 </a:t>
            </a:fld>
            <a:endParaRPr lang="en-GB" sz="1800" b="1">
              <a:solidFill>
                <a:schemeClr val="bg1"/>
              </a:solidFill>
            </a:endParaRPr>
          </a:p>
        </xdr:txBody>
      </xdr:sp>
      <xdr:sp macro="" textlink="">
        <xdr:nvSpPr>
          <xdr:cNvPr id="9" name="TextBox 8">
            <a:extLst>
              <a:ext uri="{FF2B5EF4-FFF2-40B4-BE49-F238E27FC236}">
                <a16:creationId xmlns:a16="http://schemas.microsoft.com/office/drawing/2014/main" id="{1817A878-EBE3-75E0-2C44-A574D8C983BC}"/>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bg1"/>
                </a:solidFill>
              </a:rPr>
              <a:t>    </a:t>
            </a:r>
            <a:r>
              <a:rPr lang="en-GB" sz="1800" b="1">
                <a:solidFill>
                  <a:schemeClr val="bg1"/>
                </a:solidFill>
              </a:rPr>
              <a:t>TOTAL PROFIT</a:t>
            </a:r>
          </a:p>
        </xdr:txBody>
      </xdr:sp>
    </xdr:grpSp>
    <xdr:clientData/>
  </xdr:twoCellAnchor>
  <xdr:twoCellAnchor>
    <xdr:from>
      <xdr:col>18</xdr:col>
      <xdr:colOff>214440</xdr:colOff>
      <xdr:row>1</xdr:row>
      <xdr:rowOff>54669</xdr:rowOff>
    </xdr:from>
    <xdr:to>
      <xdr:col>21</xdr:col>
      <xdr:colOff>169990</xdr:colOff>
      <xdr:row>6</xdr:row>
      <xdr:rowOff>48318</xdr:rowOff>
    </xdr:to>
    <xdr:grpSp>
      <xdr:nvGrpSpPr>
        <xdr:cNvPr id="10" name="Group 9">
          <a:extLst>
            <a:ext uri="{FF2B5EF4-FFF2-40B4-BE49-F238E27FC236}">
              <a16:creationId xmlns:a16="http://schemas.microsoft.com/office/drawing/2014/main" id="{6568FECE-9285-4C67-883A-95AE99B05FCD}"/>
            </a:ext>
          </a:extLst>
        </xdr:cNvPr>
        <xdr:cNvGrpSpPr/>
      </xdr:nvGrpSpPr>
      <xdr:grpSpPr>
        <a:xfrm>
          <a:off x="11182622" y="240679"/>
          <a:ext cx="1783580" cy="923700"/>
          <a:chOff x="4413250" y="971550"/>
          <a:chExt cx="1784350" cy="914400"/>
        </a:xfrm>
        <a:solidFill>
          <a:srgbClr val="1A1723"/>
        </a:solidFill>
      </xdr:grpSpPr>
      <xdr:sp macro="" textlink="pivot!O30">
        <xdr:nvSpPr>
          <xdr:cNvPr id="11" name="Rectangle: Rounded Corners 10">
            <a:extLst>
              <a:ext uri="{FF2B5EF4-FFF2-40B4-BE49-F238E27FC236}">
                <a16:creationId xmlns:a16="http://schemas.microsoft.com/office/drawing/2014/main" id="{BE36E3DA-47CA-5007-1462-EF04C6050F17}"/>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20B6D87-3453-4C56-B0EF-B282365507AB}" type="TxLink">
              <a:rPr lang="en-US" sz="1800" b="1" i="0" u="none" strike="noStrike">
                <a:solidFill>
                  <a:schemeClr val="bg1"/>
                </a:solidFill>
                <a:latin typeface="Calibri"/>
                <a:ea typeface="Calibri"/>
                <a:cs typeface="Calibri"/>
              </a:rPr>
              <a:pPr algn="ctr"/>
              <a:t> ₦25,342,450 </a:t>
            </a:fld>
            <a:endParaRPr lang="en-GB" sz="1800" b="1">
              <a:solidFill>
                <a:schemeClr val="bg1"/>
              </a:solidFill>
            </a:endParaRPr>
          </a:p>
        </xdr:txBody>
      </xdr:sp>
      <xdr:sp macro="" textlink="">
        <xdr:nvSpPr>
          <xdr:cNvPr id="12" name="TextBox 11">
            <a:extLst>
              <a:ext uri="{FF2B5EF4-FFF2-40B4-BE49-F238E27FC236}">
                <a16:creationId xmlns:a16="http://schemas.microsoft.com/office/drawing/2014/main" id="{18308AC7-DF40-954A-F208-BCF80EA2D6DE}"/>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800" b="1">
                <a:solidFill>
                  <a:schemeClr val="bg1"/>
                </a:solidFill>
              </a:rPr>
              <a:t>    TOTAL COST</a:t>
            </a:r>
          </a:p>
        </xdr:txBody>
      </xdr:sp>
    </xdr:grpSp>
    <xdr:clientData/>
  </xdr:twoCellAnchor>
  <xdr:twoCellAnchor>
    <xdr:from>
      <xdr:col>5</xdr:col>
      <xdr:colOff>204368</xdr:colOff>
      <xdr:row>21</xdr:row>
      <xdr:rowOff>29195</xdr:rowOff>
    </xdr:from>
    <xdr:to>
      <xdr:col>22</xdr:col>
      <xdr:colOff>503621</xdr:colOff>
      <xdr:row>33</xdr:row>
      <xdr:rowOff>51091</xdr:rowOff>
    </xdr:to>
    <xdr:sp macro="" textlink="">
      <xdr:nvSpPr>
        <xdr:cNvPr id="17" name="Rectangle: Rounded Corners 24">
          <a:extLst>
            <a:ext uri="{FF2B5EF4-FFF2-40B4-BE49-F238E27FC236}">
              <a16:creationId xmlns:a16="http://schemas.microsoft.com/office/drawing/2014/main" id="{1D6467A6-D266-4350-A6DD-C325BBF8FBC5}"/>
            </a:ext>
          </a:extLst>
        </xdr:cNvPr>
        <xdr:cNvSpPr/>
      </xdr:nvSpPr>
      <xdr:spPr>
        <a:xfrm>
          <a:off x="3252368" y="3896345"/>
          <a:ext cx="10662453" cy="2231696"/>
        </a:xfrm>
        <a:prstGeom prst="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a:p>
      </xdr:txBody>
    </xdr:sp>
    <xdr:clientData/>
  </xdr:twoCellAnchor>
  <xdr:twoCellAnchor>
    <xdr:from>
      <xdr:col>5</xdr:col>
      <xdr:colOff>204368</xdr:colOff>
      <xdr:row>6</xdr:row>
      <xdr:rowOff>160575</xdr:rowOff>
    </xdr:from>
    <xdr:to>
      <xdr:col>22</xdr:col>
      <xdr:colOff>510919</xdr:colOff>
      <xdr:row>20</xdr:row>
      <xdr:rowOff>58391</xdr:rowOff>
    </xdr:to>
    <xdr:sp macro="" textlink="">
      <xdr:nvSpPr>
        <xdr:cNvPr id="18" name="Rectangle: Rounded Corners 27">
          <a:extLst>
            <a:ext uri="{FF2B5EF4-FFF2-40B4-BE49-F238E27FC236}">
              <a16:creationId xmlns:a16="http://schemas.microsoft.com/office/drawing/2014/main" id="{3EDEF4DE-249D-48FD-9A90-B530137D234C}"/>
            </a:ext>
          </a:extLst>
        </xdr:cNvPr>
        <xdr:cNvSpPr/>
      </xdr:nvSpPr>
      <xdr:spPr>
        <a:xfrm>
          <a:off x="3252368" y="1265475"/>
          <a:ext cx="10669751" cy="2475916"/>
        </a:xfrm>
        <a:prstGeom prst="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299253</xdr:colOff>
      <xdr:row>7</xdr:row>
      <xdr:rowOff>124079</xdr:rowOff>
    </xdr:from>
    <xdr:to>
      <xdr:col>11</xdr:col>
      <xdr:colOff>510919</xdr:colOff>
      <xdr:row>19</xdr:row>
      <xdr:rowOff>138677</xdr:rowOff>
    </xdr:to>
    <xdr:graphicFrame macro="">
      <xdr:nvGraphicFramePr>
        <xdr:cNvPr id="19" name="Chart 5">
          <a:extLst>
            <a:ext uri="{FF2B5EF4-FFF2-40B4-BE49-F238E27FC236}">
              <a16:creationId xmlns:a16="http://schemas.microsoft.com/office/drawing/2014/main" id="{3DAF3741-3899-4B44-8FCC-2682FDAB8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489023</xdr:colOff>
      <xdr:row>7</xdr:row>
      <xdr:rowOff>53500</xdr:rowOff>
    </xdr:from>
    <xdr:to>
      <xdr:col>22</xdr:col>
      <xdr:colOff>423334</xdr:colOff>
      <xdr:row>20</xdr:row>
      <xdr:rowOff>7299</xdr:rowOff>
    </xdr:to>
    <xdr:graphicFrame macro="">
      <xdr:nvGraphicFramePr>
        <xdr:cNvPr id="20" name="Chart 6">
          <a:extLst>
            <a:ext uri="{FF2B5EF4-FFF2-40B4-BE49-F238E27FC236}">
              <a16:creationId xmlns:a16="http://schemas.microsoft.com/office/drawing/2014/main" id="{9338D9A5-4624-4886-B457-9C1BD7377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169503</xdr:colOff>
      <xdr:row>21</xdr:row>
      <xdr:rowOff>94179</xdr:rowOff>
    </xdr:from>
    <xdr:to>
      <xdr:col>22</xdr:col>
      <xdr:colOff>426016</xdr:colOff>
      <xdr:row>33</xdr:row>
      <xdr:rowOff>78592</xdr:rowOff>
    </xdr:to>
    <xdr:graphicFrame macro="">
      <xdr:nvGraphicFramePr>
        <xdr:cNvPr id="21" name="Chart 7">
          <a:extLst>
            <a:ext uri="{FF2B5EF4-FFF2-40B4-BE49-F238E27FC236}">
              <a16:creationId xmlns:a16="http://schemas.microsoft.com/office/drawing/2014/main" id="{F261C20E-3C6A-40B5-A800-B1F0FB743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138680</xdr:colOff>
      <xdr:row>21</xdr:row>
      <xdr:rowOff>132367</xdr:rowOff>
    </xdr:from>
    <xdr:to>
      <xdr:col>12</xdr:col>
      <xdr:colOff>145978</xdr:colOff>
      <xdr:row>33</xdr:row>
      <xdr:rowOff>58389</xdr:rowOff>
    </xdr:to>
    <xdr:graphicFrame macro="">
      <xdr:nvGraphicFramePr>
        <xdr:cNvPr id="22" name="Chart 8">
          <a:extLst>
            <a:ext uri="{FF2B5EF4-FFF2-40B4-BE49-F238E27FC236}">
              <a16:creationId xmlns:a16="http://schemas.microsoft.com/office/drawing/2014/main" id="{851B7EB5-F15E-4372-A734-64FDCC4B0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0</xdr:row>
      <xdr:rowOff>58391</xdr:rowOff>
    </xdr:from>
    <xdr:to>
      <xdr:col>2</xdr:col>
      <xdr:colOff>432314</xdr:colOff>
      <xdr:row>6</xdr:row>
      <xdr:rowOff>77859</xdr:rowOff>
    </xdr:to>
    <xdr:pic>
      <xdr:nvPicPr>
        <xdr:cNvPr id="118" name="Graphic 117" descr="Unfollow with solid fill">
          <a:extLst>
            <a:ext uri="{FF2B5EF4-FFF2-40B4-BE49-F238E27FC236}">
              <a16:creationId xmlns:a16="http://schemas.microsoft.com/office/drawing/2014/main" id="{41FD6D78-F4A6-4156-8ED6-61F976BCFFF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 y="58391"/>
          <a:ext cx="1651000" cy="1135529"/>
        </a:xfrm>
        <a:prstGeom prst="rect">
          <a:avLst/>
        </a:prstGeom>
      </xdr:spPr>
    </xdr:pic>
    <xdr:clientData/>
  </xdr:twoCellAnchor>
  <xdr:twoCellAnchor>
    <xdr:from>
      <xdr:col>0</xdr:col>
      <xdr:colOff>38486</xdr:colOff>
      <xdr:row>6</xdr:row>
      <xdr:rowOff>135360</xdr:rowOff>
    </xdr:from>
    <xdr:to>
      <xdr:col>2</xdr:col>
      <xdr:colOff>261623</xdr:colOff>
      <xdr:row>10</xdr:row>
      <xdr:rowOff>123437</xdr:rowOff>
    </xdr:to>
    <xdr:grpSp>
      <xdr:nvGrpSpPr>
        <xdr:cNvPr id="124" name="Group 123">
          <a:extLst>
            <a:ext uri="{FF2B5EF4-FFF2-40B4-BE49-F238E27FC236}">
              <a16:creationId xmlns:a16="http://schemas.microsoft.com/office/drawing/2014/main" id="{CDD36539-35E3-40D6-A8C7-17AD46EAA480}"/>
            </a:ext>
          </a:extLst>
        </xdr:cNvPr>
        <xdr:cNvGrpSpPr/>
      </xdr:nvGrpSpPr>
      <xdr:grpSpPr>
        <a:xfrm>
          <a:off x="38486" y="1251421"/>
          <a:ext cx="1441824" cy="732117"/>
          <a:chOff x="52294" y="1927412"/>
          <a:chExt cx="1441824" cy="732117"/>
        </a:xfrm>
      </xdr:grpSpPr>
      <xdr:sp macro="" textlink="">
        <xdr:nvSpPr>
          <xdr:cNvPr id="125" name="Rectangle: Rounded Corners 124">
            <a:extLst>
              <a:ext uri="{FF2B5EF4-FFF2-40B4-BE49-F238E27FC236}">
                <a16:creationId xmlns:a16="http://schemas.microsoft.com/office/drawing/2014/main" id="{AEDB9C0B-90AF-C301-CA96-B12E85EAC4F7}"/>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6" name="TextBox 125">
            <a:hlinkClick xmlns:r="http://schemas.openxmlformats.org/officeDocument/2006/relationships" r:id="rId7"/>
            <a:extLst>
              <a:ext uri="{FF2B5EF4-FFF2-40B4-BE49-F238E27FC236}">
                <a16:creationId xmlns:a16="http://schemas.microsoft.com/office/drawing/2014/main" id="{04B854CF-2E99-23A3-D14A-6BC7EBBF22A2}"/>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a:t>
            </a:r>
            <a:endParaRPr lang="en-GB" sz="1600" b="1">
              <a:solidFill>
                <a:schemeClr val="bg1"/>
              </a:solidFill>
            </a:endParaRPr>
          </a:p>
        </xdr:txBody>
      </xdr:sp>
    </xdr:grpSp>
    <xdr:clientData/>
  </xdr:twoCellAnchor>
  <xdr:twoCellAnchor>
    <xdr:from>
      <xdr:col>0</xdr:col>
      <xdr:colOff>38486</xdr:colOff>
      <xdr:row>10</xdr:row>
      <xdr:rowOff>94738</xdr:rowOff>
    </xdr:from>
    <xdr:to>
      <xdr:col>2</xdr:col>
      <xdr:colOff>261623</xdr:colOff>
      <xdr:row>14</xdr:row>
      <xdr:rowOff>82815</xdr:rowOff>
    </xdr:to>
    <xdr:grpSp>
      <xdr:nvGrpSpPr>
        <xdr:cNvPr id="130" name="Group 129">
          <a:extLst>
            <a:ext uri="{FF2B5EF4-FFF2-40B4-BE49-F238E27FC236}">
              <a16:creationId xmlns:a16="http://schemas.microsoft.com/office/drawing/2014/main" id="{E5BD921F-76D6-4348-BB43-95E3204CF902}"/>
            </a:ext>
          </a:extLst>
        </xdr:cNvPr>
        <xdr:cNvGrpSpPr/>
      </xdr:nvGrpSpPr>
      <xdr:grpSpPr>
        <a:xfrm>
          <a:off x="38486" y="1954839"/>
          <a:ext cx="1441824" cy="732117"/>
          <a:chOff x="52294" y="1927412"/>
          <a:chExt cx="1441824" cy="732117"/>
        </a:xfrm>
      </xdr:grpSpPr>
      <xdr:sp macro="" textlink="">
        <xdr:nvSpPr>
          <xdr:cNvPr id="131" name="Rectangle: Rounded Corners 130">
            <a:extLst>
              <a:ext uri="{FF2B5EF4-FFF2-40B4-BE49-F238E27FC236}">
                <a16:creationId xmlns:a16="http://schemas.microsoft.com/office/drawing/2014/main" id="{1F545971-7AE3-018D-58AC-775967198506}"/>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2" name="TextBox 131">
            <a:hlinkClick xmlns:r="http://schemas.openxmlformats.org/officeDocument/2006/relationships" r:id="rId8"/>
            <a:extLst>
              <a:ext uri="{FF2B5EF4-FFF2-40B4-BE49-F238E27FC236}">
                <a16:creationId xmlns:a16="http://schemas.microsoft.com/office/drawing/2014/main" id="{7C014E0D-90F0-E1FC-70E4-AEC871F2FE61}"/>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1</a:t>
            </a:r>
          </a:p>
        </xdr:txBody>
      </xdr:sp>
    </xdr:grpSp>
    <xdr:clientData/>
  </xdr:twoCellAnchor>
  <xdr:twoCellAnchor>
    <xdr:from>
      <xdr:col>0</xdr:col>
      <xdr:colOff>25657</xdr:colOff>
      <xdr:row>14</xdr:row>
      <xdr:rowOff>54116</xdr:rowOff>
    </xdr:from>
    <xdr:to>
      <xdr:col>2</xdr:col>
      <xdr:colOff>248794</xdr:colOff>
      <xdr:row>18</xdr:row>
      <xdr:rowOff>42192</xdr:rowOff>
    </xdr:to>
    <xdr:grpSp>
      <xdr:nvGrpSpPr>
        <xdr:cNvPr id="136" name="Group 135">
          <a:extLst>
            <a:ext uri="{FF2B5EF4-FFF2-40B4-BE49-F238E27FC236}">
              <a16:creationId xmlns:a16="http://schemas.microsoft.com/office/drawing/2014/main" id="{5E7276D3-65A2-495A-A295-2A4A58260E0B}"/>
            </a:ext>
          </a:extLst>
        </xdr:cNvPr>
        <xdr:cNvGrpSpPr/>
      </xdr:nvGrpSpPr>
      <xdr:grpSpPr>
        <a:xfrm>
          <a:off x="25657" y="2658257"/>
          <a:ext cx="1441824" cy="732117"/>
          <a:chOff x="52294" y="1927412"/>
          <a:chExt cx="1441824" cy="732117"/>
        </a:xfrm>
      </xdr:grpSpPr>
      <xdr:sp macro="" textlink="">
        <xdr:nvSpPr>
          <xdr:cNvPr id="137" name="Rectangle: Rounded Corners 136">
            <a:extLst>
              <a:ext uri="{FF2B5EF4-FFF2-40B4-BE49-F238E27FC236}">
                <a16:creationId xmlns:a16="http://schemas.microsoft.com/office/drawing/2014/main" id="{4B02304B-AEB2-DAF8-8AA5-01EB44069DC4}"/>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8" name="TextBox 137">
            <a:hlinkClick xmlns:r="http://schemas.openxmlformats.org/officeDocument/2006/relationships" r:id="rId9"/>
            <a:extLst>
              <a:ext uri="{FF2B5EF4-FFF2-40B4-BE49-F238E27FC236}">
                <a16:creationId xmlns:a16="http://schemas.microsoft.com/office/drawing/2014/main" id="{7425CBD6-AD03-7B8D-297E-DFEC9FFB618E}"/>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2</a:t>
            </a:r>
            <a:endParaRPr lang="en-GB" sz="1600" b="1">
              <a:solidFill>
                <a:schemeClr val="bg1"/>
              </a:solidFill>
            </a:endParaRPr>
          </a:p>
        </xdr:txBody>
      </xdr:sp>
    </xdr:grpSp>
    <xdr:clientData/>
  </xdr:twoCellAnchor>
  <xdr:twoCellAnchor>
    <xdr:from>
      <xdr:col>0</xdr:col>
      <xdr:colOff>12829</xdr:colOff>
      <xdr:row>18</xdr:row>
      <xdr:rowOff>13492</xdr:rowOff>
    </xdr:from>
    <xdr:to>
      <xdr:col>2</xdr:col>
      <xdr:colOff>235966</xdr:colOff>
      <xdr:row>22</xdr:row>
      <xdr:rowOff>1569</xdr:rowOff>
    </xdr:to>
    <xdr:grpSp>
      <xdr:nvGrpSpPr>
        <xdr:cNvPr id="139" name="Group 138">
          <a:extLst>
            <a:ext uri="{FF2B5EF4-FFF2-40B4-BE49-F238E27FC236}">
              <a16:creationId xmlns:a16="http://schemas.microsoft.com/office/drawing/2014/main" id="{9C43AA36-E5D2-4C42-B541-412147DE77D6}"/>
            </a:ext>
          </a:extLst>
        </xdr:cNvPr>
        <xdr:cNvGrpSpPr/>
      </xdr:nvGrpSpPr>
      <xdr:grpSpPr>
        <a:xfrm>
          <a:off x="12829" y="3361674"/>
          <a:ext cx="1441824" cy="732117"/>
          <a:chOff x="52294" y="1927412"/>
          <a:chExt cx="1441824" cy="732117"/>
        </a:xfrm>
      </xdr:grpSpPr>
      <xdr:sp macro="" textlink="">
        <xdr:nvSpPr>
          <xdr:cNvPr id="140" name="Rectangle: Rounded Corners 139">
            <a:extLst>
              <a:ext uri="{FF2B5EF4-FFF2-40B4-BE49-F238E27FC236}">
                <a16:creationId xmlns:a16="http://schemas.microsoft.com/office/drawing/2014/main" id="{CEBC2ACB-A62C-9054-8986-7DA19E7F0231}"/>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1" name="TextBox 140">
            <a:hlinkClick xmlns:r="http://schemas.openxmlformats.org/officeDocument/2006/relationships" r:id="rId10"/>
            <a:extLst>
              <a:ext uri="{FF2B5EF4-FFF2-40B4-BE49-F238E27FC236}">
                <a16:creationId xmlns:a16="http://schemas.microsoft.com/office/drawing/2014/main" id="{3DAD3DA9-D46B-CB30-78B7-C36C8BF53287}"/>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3</a:t>
            </a:r>
            <a:endParaRPr lang="en-GB" sz="1600" b="1">
              <a:solidFill>
                <a:schemeClr val="bg1"/>
              </a:solidFill>
            </a:endParaRPr>
          </a:p>
        </xdr:txBody>
      </xdr:sp>
    </xdr:grpSp>
    <xdr:clientData/>
  </xdr:twoCellAnchor>
  <xdr:twoCellAnchor editAs="oneCell">
    <xdr:from>
      <xdr:col>2</xdr:col>
      <xdr:colOff>301356</xdr:colOff>
      <xdr:row>0</xdr:row>
      <xdr:rowOff>96865</xdr:rowOff>
    </xdr:from>
    <xdr:to>
      <xdr:col>5</xdr:col>
      <xdr:colOff>65917</xdr:colOff>
      <xdr:row>7</xdr:row>
      <xdr:rowOff>139556</xdr:rowOff>
    </xdr:to>
    <mc:AlternateContent xmlns:mc="http://schemas.openxmlformats.org/markup-compatibility/2006" xmlns:a14="http://schemas.microsoft.com/office/drawing/2010/main">
      <mc:Choice Requires="a14">
        <xdr:graphicFrame macro="">
          <xdr:nvGraphicFramePr>
            <xdr:cNvPr id="162" name="Region 1">
              <a:extLst>
                <a:ext uri="{FF2B5EF4-FFF2-40B4-BE49-F238E27FC236}">
                  <a16:creationId xmlns:a16="http://schemas.microsoft.com/office/drawing/2014/main" id="{845DFDB2-34DA-4A04-95FE-CE38189D6FC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5999" y="96865"/>
              <a:ext cx="1601525" cy="13126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341249</xdr:colOff>
      <xdr:row>7</xdr:row>
      <xdr:rowOff>133831</xdr:rowOff>
    </xdr:from>
    <xdr:to>
      <xdr:col>5</xdr:col>
      <xdr:colOff>75613</xdr:colOff>
      <xdr:row>16</xdr:row>
      <xdr:rowOff>114462</xdr:rowOff>
    </xdr:to>
    <mc:AlternateContent xmlns:mc="http://schemas.openxmlformats.org/markup-compatibility/2006" xmlns:a14="http://schemas.microsoft.com/office/drawing/2010/main">
      <mc:Choice Requires="a14">
        <xdr:graphicFrame macro="">
          <xdr:nvGraphicFramePr>
            <xdr:cNvPr id="164" name="Salesperson 1">
              <a:extLst>
                <a:ext uri="{FF2B5EF4-FFF2-40B4-BE49-F238E27FC236}">
                  <a16:creationId xmlns:a16="http://schemas.microsoft.com/office/drawing/2014/main" id="{44C53399-A08A-4D6C-849B-739AA880EF8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565892" y="1403831"/>
              <a:ext cx="1571328" cy="16134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389680</xdr:colOff>
      <xdr:row>15</xdr:row>
      <xdr:rowOff>168342</xdr:rowOff>
    </xdr:from>
    <xdr:to>
      <xdr:col>5</xdr:col>
      <xdr:colOff>96132</xdr:colOff>
      <xdr:row>23</xdr:row>
      <xdr:rowOff>164470</xdr:rowOff>
    </xdr:to>
    <mc:AlternateContent xmlns:mc="http://schemas.openxmlformats.org/markup-compatibility/2006" xmlns:a14="http://schemas.microsoft.com/office/drawing/2010/main">
      <mc:Choice Requires="a14">
        <xdr:graphicFrame macro="">
          <xdr:nvGraphicFramePr>
            <xdr:cNvPr id="166" name="Product 1">
              <a:extLst>
                <a:ext uri="{FF2B5EF4-FFF2-40B4-BE49-F238E27FC236}">
                  <a16:creationId xmlns:a16="http://schemas.microsoft.com/office/drawing/2014/main" id="{8ABB2600-69B6-468C-9FBE-0D68A131D79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614323" y="2889771"/>
              <a:ext cx="1543416" cy="14475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352245</xdr:colOff>
      <xdr:row>24</xdr:row>
      <xdr:rowOff>20706</xdr:rowOff>
    </xdr:from>
    <xdr:to>
      <xdr:col>5</xdr:col>
      <xdr:colOff>103778</xdr:colOff>
      <xdr:row>33</xdr:row>
      <xdr:rowOff>26981</xdr:rowOff>
    </xdr:to>
    <mc:AlternateContent xmlns:mc="http://schemas.openxmlformats.org/markup-compatibility/2006" xmlns:a14="http://schemas.microsoft.com/office/drawing/2010/main">
      <mc:Choice Requires="a14">
        <xdr:graphicFrame macro="">
          <xdr:nvGraphicFramePr>
            <xdr:cNvPr id="168" name="Category 1">
              <a:extLst>
                <a:ext uri="{FF2B5EF4-FFF2-40B4-BE49-F238E27FC236}">
                  <a16:creationId xmlns:a16="http://schemas.microsoft.com/office/drawing/2014/main" id="{C7C6A61D-0E0F-4700-9B9E-B340BA20EE7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76888" y="4374992"/>
              <a:ext cx="1588497" cy="16391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25401</xdr:colOff>
      <xdr:row>0</xdr:row>
      <xdr:rowOff>6350</xdr:rowOff>
    </xdr:from>
    <xdr:to>
      <xdr:col>23</xdr:col>
      <xdr:colOff>36496</xdr:colOff>
      <xdr:row>33</xdr:row>
      <xdr:rowOff>160574</xdr:rowOff>
    </xdr:to>
    <xdr:sp macro="" textlink="">
      <xdr:nvSpPr>
        <xdr:cNvPr id="2" name="Rectangle 1">
          <a:extLst>
            <a:ext uri="{FF2B5EF4-FFF2-40B4-BE49-F238E27FC236}">
              <a16:creationId xmlns:a16="http://schemas.microsoft.com/office/drawing/2014/main" id="{52A91D58-DBDD-4ACE-99F9-BD31DBF93325}"/>
            </a:ext>
          </a:extLst>
        </xdr:cNvPr>
        <xdr:cNvSpPr/>
      </xdr:nvSpPr>
      <xdr:spPr>
        <a:xfrm>
          <a:off x="25401" y="6350"/>
          <a:ext cx="14070114" cy="6225299"/>
        </a:xfrm>
        <a:prstGeom prst="rect">
          <a:avLst/>
        </a:prstGeom>
        <a:solidFill>
          <a:srgbClr val="0C0B10"/>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u="sng"/>
        </a:p>
      </xdr:txBody>
    </xdr:sp>
    <xdr:clientData/>
  </xdr:twoCellAnchor>
  <xdr:twoCellAnchor>
    <xdr:from>
      <xdr:col>0</xdr:col>
      <xdr:colOff>1</xdr:colOff>
      <xdr:row>0</xdr:row>
      <xdr:rowOff>0</xdr:rowOff>
    </xdr:from>
    <xdr:to>
      <xdr:col>2</xdr:col>
      <xdr:colOff>246945</xdr:colOff>
      <xdr:row>33</xdr:row>
      <xdr:rowOff>145976</xdr:rowOff>
    </xdr:to>
    <xdr:sp macro="" textlink="">
      <xdr:nvSpPr>
        <xdr:cNvPr id="3" name="Rectangle 2">
          <a:extLst>
            <a:ext uri="{FF2B5EF4-FFF2-40B4-BE49-F238E27FC236}">
              <a16:creationId xmlns:a16="http://schemas.microsoft.com/office/drawing/2014/main" id="{1E6ED11D-D27D-464F-8929-7F377B2488B6}"/>
            </a:ext>
          </a:extLst>
        </xdr:cNvPr>
        <xdr:cNvSpPr/>
      </xdr:nvSpPr>
      <xdr:spPr>
        <a:xfrm>
          <a:off x="1" y="0"/>
          <a:ext cx="1469467" cy="6217051"/>
        </a:xfrm>
        <a:prstGeom prst="rect">
          <a:avLst/>
        </a:prstGeom>
        <a:gradFill>
          <a:gsLst>
            <a:gs pos="100000">
              <a:srgbClr val="6B3FA0"/>
            </a:gs>
            <a:gs pos="100000">
              <a:schemeClr val="accent1">
                <a:lumMod val="45000"/>
                <a:lumOff val="55000"/>
              </a:schemeClr>
            </a:gs>
            <a:gs pos="100000">
              <a:schemeClr val="accent1">
                <a:lumMod val="45000"/>
                <a:lumOff val="55000"/>
              </a:schemeClr>
            </a:gs>
            <a:gs pos="51000">
              <a:srgbClr val="0C0B1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544932</xdr:colOff>
      <xdr:row>1</xdr:row>
      <xdr:rowOff>54669</xdr:rowOff>
    </xdr:from>
    <xdr:to>
      <xdr:col>9</xdr:col>
      <xdr:colOff>500482</xdr:colOff>
      <xdr:row>6</xdr:row>
      <xdr:rowOff>48318</xdr:rowOff>
    </xdr:to>
    <xdr:grpSp>
      <xdr:nvGrpSpPr>
        <xdr:cNvPr id="4" name="Group 3">
          <a:extLst>
            <a:ext uri="{FF2B5EF4-FFF2-40B4-BE49-F238E27FC236}">
              <a16:creationId xmlns:a16="http://schemas.microsoft.com/office/drawing/2014/main" id="{D2C609A6-C40B-4022-B650-592F282140CF}"/>
            </a:ext>
          </a:extLst>
        </xdr:cNvPr>
        <xdr:cNvGrpSpPr/>
      </xdr:nvGrpSpPr>
      <xdr:grpSpPr>
        <a:xfrm>
          <a:off x="4205520" y="241434"/>
          <a:ext cx="1785844" cy="927472"/>
          <a:chOff x="4413250" y="971550"/>
          <a:chExt cx="1784350" cy="914400"/>
        </a:xfrm>
        <a:solidFill>
          <a:srgbClr val="1A1723"/>
        </a:solidFill>
      </xdr:grpSpPr>
      <xdr:sp macro="" textlink="pivot!F33">
        <xdr:nvSpPr>
          <xdr:cNvPr id="5" name="Rectangle: Rounded Corners 4">
            <a:extLst>
              <a:ext uri="{FF2B5EF4-FFF2-40B4-BE49-F238E27FC236}">
                <a16:creationId xmlns:a16="http://schemas.microsoft.com/office/drawing/2014/main" id="{A9FEF326-7A51-7E22-215B-30EA7EA62868}"/>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88E6B9B-CD42-44A4-9414-D9011F05DE5E}" type="TxLink">
              <a:rPr lang="en-US" sz="1800" b="1" i="0" u="none" strike="noStrike">
                <a:solidFill>
                  <a:schemeClr val="bg1"/>
                </a:solidFill>
                <a:latin typeface="Calibri"/>
                <a:ea typeface="Calibri"/>
                <a:cs typeface="Calibri"/>
              </a:rPr>
              <a:pPr algn="ctr"/>
              <a:t> ₦36,014,075 </a:t>
            </a:fld>
            <a:endParaRPr lang="en-GB" sz="1800" b="1">
              <a:solidFill>
                <a:schemeClr val="bg1"/>
              </a:solidFill>
            </a:endParaRPr>
          </a:p>
        </xdr:txBody>
      </xdr:sp>
      <xdr:sp macro="" textlink="">
        <xdr:nvSpPr>
          <xdr:cNvPr id="6" name="TextBox 5">
            <a:extLst>
              <a:ext uri="{FF2B5EF4-FFF2-40B4-BE49-F238E27FC236}">
                <a16:creationId xmlns:a16="http://schemas.microsoft.com/office/drawing/2014/main" id="{54CF73FD-F8A3-3CFD-8FD9-CC07351949C5}"/>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bg1"/>
                </a:solidFill>
              </a:rPr>
              <a:t>    </a:t>
            </a:r>
            <a:r>
              <a:rPr lang="en-GB" sz="1800" b="1">
                <a:solidFill>
                  <a:schemeClr val="bg1"/>
                </a:solidFill>
              </a:rPr>
              <a:t>TOTAL SALES</a:t>
            </a:r>
          </a:p>
        </xdr:txBody>
      </xdr:sp>
    </xdr:grpSp>
    <xdr:clientData/>
  </xdr:twoCellAnchor>
  <xdr:twoCellAnchor>
    <xdr:from>
      <xdr:col>12</xdr:col>
      <xdr:colOff>379686</xdr:colOff>
      <xdr:row>1</xdr:row>
      <xdr:rowOff>54669</xdr:rowOff>
    </xdr:from>
    <xdr:to>
      <xdr:col>15</xdr:col>
      <xdr:colOff>335236</xdr:colOff>
      <xdr:row>6</xdr:row>
      <xdr:rowOff>48318</xdr:rowOff>
    </xdr:to>
    <xdr:grpSp>
      <xdr:nvGrpSpPr>
        <xdr:cNvPr id="7" name="Group 6">
          <a:extLst>
            <a:ext uri="{FF2B5EF4-FFF2-40B4-BE49-F238E27FC236}">
              <a16:creationId xmlns:a16="http://schemas.microsoft.com/office/drawing/2014/main" id="{ED9D37E9-C514-4557-9308-1DD8EC02951C}"/>
            </a:ext>
          </a:extLst>
        </xdr:cNvPr>
        <xdr:cNvGrpSpPr/>
      </xdr:nvGrpSpPr>
      <xdr:grpSpPr>
        <a:xfrm>
          <a:off x="7700862" y="241434"/>
          <a:ext cx="1785845" cy="927472"/>
          <a:chOff x="4413250" y="971550"/>
          <a:chExt cx="1784350" cy="914400"/>
        </a:xfrm>
        <a:solidFill>
          <a:srgbClr val="0C0B10"/>
        </a:solidFill>
      </xdr:grpSpPr>
      <xdr:sp macro="" textlink="pivot!S24">
        <xdr:nvSpPr>
          <xdr:cNvPr id="8" name="Rectangle: Rounded Corners 7">
            <a:extLst>
              <a:ext uri="{FF2B5EF4-FFF2-40B4-BE49-F238E27FC236}">
                <a16:creationId xmlns:a16="http://schemas.microsoft.com/office/drawing/2014/main" id="{3E51F668-78FF-1DCA-C960-1800D3EECD83}"/>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CF5533-CAF0-42E6-8CAB-1988CFC5B317}" type="TxLink">
              <a:rPr lang="en-US" sz="1800" b="1" i="0" u="none" strike="noStrike">
                <a:solidFill>
                  <a:schemeClr val="bg1"/>
                </a:solidFill>
                <a:latin typeface="Calibri"/>
                <a:ea typeface="Calibri"/>
                <a:cs typeface="Calibri"/>
              </a:rPr>
              <a:pPr algn="ctr"/>
              <a:t> ₦10,671,625 </a:t>
            </a:fld>
            <a:endParaRPr lang="en-GB" sz="1800" b="1">
              <a:solidFill>
                <a:schemeClr val="bg1"/>
              </a:solidFill>
            </a:endParaRPr>
          </a:p>
        </xdr:txBody>
      </xdr:sp>
      <xdr:sp macro="" textlink="">
        <xdr:nvSpPr>
          <xdr:cNvPr id="9" name="TextBox 8">
            <a:extLst>
              <a:ext uri="{FF2B5EF4-FFF2-40B4-BE49-F238E27FC236}">
                <a16:creationId xmlns:a16="http://schemas.microsoft.com/office/drawing/2014/main" id="{7BCA3EF6-CF43-A51B-BF57-03004DD2BF38}"/>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bg1"/>
                </a:solidFill>
              </a:rPr>
              <a:t>    </a:t>
            </a:r>
            <a:r>
              <a:rPr lang="en-GB" sz="1800" b="1">
                <a:solidFill>
                  <a:schemeClr val="bg1"/>
                </a:solidFill>
              </a:rPr>
              <a:t>TOTAL PROFIT</a:t>
            </a:r>
          </a:p>
        </xdr:txBody>
      </xdr:sp>
    </xdr:grpSp>
    <xdr:clientData/>
  </xdr:twoCellAnchor>
  <xdr:twoCellAnchor>
    <xdr:from>
      <xdr:col>18</xdr:col>
      <xdr:colOff>214440</xdr:colOff>
      <xdr:row>1</xdr:row>
      <xdr:rowOff>54669</xdr:rowOff>
    </xdr:from>
    <xdr:to>
      <xdr:col>21</xdr:col>
      <xdr:colOff>169990</xdr:colOff>
      <xdr:row>6</xdr:row>
      <xdr:rowOff>48318</xdr:rowOff>
    </xdr:to>
    <xdr:grpSp>
      <xdr:nvGrpSpPr>
        <xdr:cNvPr id="10" name="Group 9">
          <a:extLst>
            <a:ext uri="{FF2B5EF4-FFF2-40B4-BE49-F238E27FC236}">
              <a16:creationId xmlns:a16="http://schemas.microsoft.com/office/drawing/2014/main" id="{D2A3C966-C66D-45C0-BB2F-3B0A0B9F37DE}"/>
            </a:ext>
          </a:extLst>
        </xdr:cNvPr>
        <xdr:cNvGrpSpPr/>
      </xdr:nvGrpSpPr>
      <xdr:grpSpPr>
        <a:xfrm>
          <a:off x="11196205" y="241434"/>
          <a:ext cx="1785844" cy="927472"/>
          <a:chOff x="4413250" y="971550"/>
          <a:chExt cx="1784350" cy="914400"/>
        </a:xfrm>
        <a:solidFill>
          <a:srgbClr val="1A1723"/>
        </a:solidFill>
      </xdr:grpSpPr>
      <xdr:sp macro="" textlink="pivot!O30">
        <xdr:nvSpPr>
          <xdr:cNvPr id="11" name="Rectangle: Rounded Corners 10">
            <a:extLst>
              <a:ext uri="{FF2B5EF4-FFF2-40B4-BE49-F238E27FC236}">
                <a16:creationId xmlns:a16="http://schemas.microsoft.com/office/drawing/2014/main" id="{E5F940B2-44C4-C016-259B-E06E888B56F2}"/>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20B6D87-3453-4C56-B0EF-B282365507AB}" type="TxLink">
              <a:rPr lang="en-US" sz="1800" b="1" i="0" u="none" strike="noStrike">
                <a:solidFill>
                  <a:schemeClr val="bg1"/>
                </a:solidFill>
                <a:latin typeface="Calibri"/>
                <a:ea typeface="Calibri"/>
                <a:cs typeface="Calibri"/>
              </a:rPr>
              <a:pPr algn="ctr"/>
              <a:t> ₦25,342,450 </a:t>
            </a:fld>
            <a:endParaRPr lang="en-GB" sz="1800" b="1">
              <a:solidFill>
                <a:schemeClr val="bg1"/>
              </a:solidFill>
            </a:endParaRPr>
          </a:p>
        </xdr:txBody>
      </xdr:sp>
      <xdr:sp macro="" textlink="">
        <xdr:nvSpPr>
          <xdr:cNvPr id="12" name="TextBox 11">
            <a:extLst>
              <a:ext uri="{FF2B5EF4-FFF2-40B4-BE49-F238E27FC236}">
                <a16:creationId xmlns:a16="http://schemas.microsoft.com/office/drawing/2014/main" id="{7E81F2CA-4590-FF8D-E902-3CCFA4FE7108}"/>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800" b="1">
                <a:solidFill>
                  <a:schemeClr val="bg1"/>
                </a:solidFill>
              </a:rPr>
              <a:t>    TOTAL COST</a:t>
            </a:r>
          </a:p>
        </xdr:txBody>
      </xdr:sp>
    </xdr:grpSp>
    <xdr:clientData/>
  </xdr:twoCellAnchor>
  <xdr:twoCellAnchor>
    <xdr:from>
      <xdr:col>5</xdr:col>
      <xdr:colOff>204368</xdr:colOff>
      <xdr:row>21</xdr:row>
      <xdr:rowOff>134055</xdr:rowOff>
    </xdr:from>
    <xdr:to>
      <xdr:col>22</xdr:col>
      <xdr:colOff>503621</xdr:colOff>
      <xdr:row>33</xdr:row>
      <xdr:rowOff>51090</xdr:rowOff>
    </xdr:to>
    <xdr:sp macro="" textlink="">
      <xdr:nvSpPr>
        <xdr:cNvPr id="14" name="Rectangle: Rounded Corners 24">
          <a:extLst>
            <a:ext uri="{FF2B5EF4-FFF2-40B4-BE49-F238E27FC236}">
              <a16:creationId xmlns:a16="http://schemas.microsoft.com/office/drawing/2014/main" id="{2324DB2D-EB06-438E-80B1-4FB798EC9706}"/>
            </a:ext>
          </a:extLst>
        </xdr:cNvPr>
        <xdr:cNvSpPr/>
      </xdr:nvSpPr>
      <xdr:spPr>
        <a:xfrm>
          <a:off x="3238257" y="3986388"/>
          <a:ext cx="10614475" cy="2118369"/>
        </a:xfrm>
        <a:prstGeom prst="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a:p>
      </xdr:txBody>
    </xdr:sp>
    <xdr:clientData/>
  </xdr:twoCellAnchor>
  <xdr:twoCellAnchor>
    <xdr:from>
      <xdr:col>5</xdr:col>
      <xdr:colOff>226265</xdr:colOff>
      <xdr:row>6</xdr:row>
      <xdr:rowOff>153276</xdr:rowOff>
    </xdr:from>
    <xdr:to>
      <xdr:col>22</xdr:col>
      <xdr:colOff>532816</xdr:colOff>
      <xdr:row>20</xdr:row>
      <xdr:rowOff>51092</xdr:rowOff>
    </xdr:to>
    <xdr:sp macro="" textlink="">
      <xdr:nvSpPr>
        <xdr:cNvPr id="18" name="Rectangle: Rounded Corners 27">
          <a:extLst>
            <a:ext uri="{FF2B5EF4-FFF2-40B4-BE49-F238E27FC236}">
              <a16:creationId xmlns:a16="http://schemas.microsoft.com/office/drawing/2014/main" id="{C0BC2364-742A-4864-A543-7A5E8A836077}"/>
            </a:ext>
          </a:extLst>
        </xdr:cNvPr>
        <xdr:cNvSpPr/>
      </xdr:nvSpPr>
      <xdr:spPr>
        <a:xfrm>
          <a:off x="3274265" y="1258176"/>
          <a:ext cx="10669751" cy="2475916"/>
        </a:xfrm>
        <a:prstGeom prst="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368268</xdr:colOff>
      <xdr:row>7</xdr:row>
      <xdr:rowOff>130748</xdr:rowOff>
    </xdr:from>
    <xdr:to>
      <xdr:col>13</xdr:col>
      <xdr:colOff>41766</xdr:colOff>
      <xdr:row>20</xdr:row>
      <xdr:rowOff>110699</xdr:rowOff>
    </xdr:to>
    <xdr:graphicFrame macro="">
      <xdr:nvGraphicFramePr>
        <xdr:cNvPr id="19" name="Chart 9">
          <a:extLst>
            <a:ext uri="{FF2B5EF4-FFF2-40B4-BE49-F238E27FC236}">
              <a16:creationId xmlns:a16="http://schemas.microsoft.com/office/drawing/2014/main" id="{FDA86A1D-4009-4569-BB4C-1E5D56399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51092</xdr:colOff>
      <xdr:row>7</xdr:row>
      <xdr:rowOff>27347</xdr:rowOff>
    </xdr:from>
    <xdr:to>
      <xdr:col>22</xdr:col>
      <xdr:colOff>503620</xdr:colOff>
      <xdr:row>20</xdr:row>
      <xdr:rowOff>21897</xdr:rowOff>
    </xdr:to>
    <xdr:graphicFrame macro="">
      <xdr:nvGraphicFramePr>
        <xdr:cNvPr id="20" name="Chart 10">
          <a:extLst>
            <a:ext uri="{FF2B5EF4-FFF2-40B4-BE49-F238E27FC236}">
              <a16:creationId xmlns:a16="http://schemas.microsoft.com/office/drawing/2014/main" id="{7D36099C-DEAA-4650-99F0-BD4A1788D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585611</xdr:colOff>
      <xdr:row>22</xdr:row>
      <xdr:rowOff>9084</xdr:rowOff>
    </xdr:from>
    <xdr:to>
      <xdr:col>22</xdr:col>
      <xdr:colOff>406577</xdr:colOff>
      <xdr:row>32</xdr:row>
      <xdr:rowOff>183444</xdr:rowOff>
    </xdr:to>
    <xdr:graphicFrame macro="">
      <xdr:nvGraphicFramePr>
        <xdr:cNvPr id="15" name="Chart 1">
          <a:extLst>
            <a:ext uri="{FF2B5EF4-FFF2-40B4-BE49-F238E27FC236}">
              <a16:creationId xmlns:a16="http://schemas.microsoft.com/office/drawing/2014/main" id="{57174635-276E-0447-F338-DC8B039EA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309564</xdr:colOff>
      <xdr:row>22</xdr:row>
      <xdr:rowOff>20651</xdr:rowOff>
    </xdr:from>
    <xdr:to>
      <xdr:col>15</xdr:col>
      <xdr:colOff>599722</xdr:colOff>
      <xdr:row>32</xdr:row>
      <xdr:rowOff>127000</xdr:rowOff>
    </xdr:to>
    <xdr:graphicFrame macro="">
      <xdr:nvGraphicFramePr>
        <xdr:cNvPr id="16" name="Chart 2">
          <a:extLst>
            <a:ext uri="{FF2B5EF4-FFF2-40B4-BE49-F238E27FC236}">
              <a16:creationId xmlns:a16="http://schemas.microsoft.com/office/drawing/2014/main" id="{314B3011-280C-5427-E64B-6259BBA5E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331611</xdr:colOff>
      <xdr:row>22</xdr:row>
      <xdr:rowOff>77611</xdr:rowOff>
    </xdr:from>
    <xdr:to>
      <xdr:col>14</xdr:col>
      <xdr:colOff>134055</xdr:colOff>
      <xdr:row>24</xdr:row>
      <xdr:rowOff>49389</xdr:rowOff>
    </xdr:to>
    <xdr:sp macro="" textlink="">
      <xdr:nvSpPr>
        <xdr:cNvPr id="21" name="TextBox 20">
          <a:extLst>
            <a:ext uri="{FF2B5EF4-FFF2-40B4-BE49-F238E27FC236}">
              <a16:creationId xmlns:a16="http://schemas.microsoft.com/office/drawing/2014/main" id="{CC862772-A524-7DBF-A9F5-7FFDAF7C1DCB}"/>
            </a:ext>
          </a:extLst>
        </xdr:cNvPr>
        <xdr:cNvSpPr txBox="1"/>
      </xdr:nvSpPr>
      <xdr:spPr>
        <a:xfrm>
          <a:off x="5185833" y="4113389"/>
          <a:ext cx="3443111" cy="338667"/>
        </a:xfrm>
        <a:prstGeom prst="rect">
          <a:avLst/>
        </a:prstGeom>
        <a:solidFill>
          <a:srgbClr val="1A17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rPr>
            <a:t>                         Top</a:t>
          </a:r>
          <a:r>
            <a:rPr lang="en-GB" sz="1600" b="1" baseline="0">
              <a:solidFill>
                <a:schemeClr val="bg1"/>
              </a:solidFill>
            </a:rPr>
            <a:t> products</a:t>
          </a:r>
          <a:endParaRPr lang="en-GB" sz="1600" b="1">
            <a:solidFill>
              <a:schemeClr val="bg1"/>
            </a:solidFill>
          </a:endParaRPr>
        </a:p>
      </xdr:txBody>
    </xdr:sp>
    <xdr:clientData/>
  </xdr:twoCellAnchor>
  <xdr:twoCellAnchor editAs="oneCell">
    <xdr:from>
      <xdr:col>0</xdr:col>
      <xdr:colOff>1</xdr:colOff>
      <xdr:row>0</xdr:row>
      <xdr:rowOff>0</xdr:rowOff>
    </xdr:from>
    <xdr:to>
      <xdr:col>2</xdr:col>
      <xdr:colOff>432949</xdr:colOff>
      <xdr:row>6</xdr:row>
      <xdr:rowOff>23983</xdr:rowOff>
    </xdr:to>
    <xdr:pic>
      <xdr:nvPicPr>
        <xdr:cNvPr id="50" name="Graphic 49" descr="Unfollow with solid fill">
          <a:extLst>
            <a:ext uri="{FF2B5EF4-FFF2-40B4-BE49-F238E27FC236}">
              <a16:creationId xmlns:a16="http://schemas.microsoft.com/office/drawing/2014/main" id="{3D5A9A8D-F828-4955-B16C-098A376EB7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 y="0"/>
          <a:ext cx="1646504" cy="1124650"/>
        </a:xfrm>
        <a:prstGeom prst="rect">
          <a:avLst/>
        </a:prstGeom>
      </xdr:spPr>
    </xdr:pic>
    <xdr:clientData/>
  </xdr:twoCellAnchor>
  <xdr:twoCellAnchor>
    <xdr:from>
      <xdr:col>0</xdr:col>
      <xdr:colOff>49390</xdr:colOff>
      <xdr:row>7</xdr:row>
      <xdr:rowOff>21167</xdr:rowOff>
    </xdr:from>
    <xdr:to>
      <xdr:col>2</xdr:col>
      <xdr:colOff>273162</xdr:colOff>
      <xdr:row>11</xdr:row>
      <xdr:rowOff>12253</xdr:rowOff>
    </xdr:to>
    <xdr:grpSp>
      <xdr:nvGrpSpPr>
        <xdr:cNvPr id="56" name="Group 55">
          <a:extLst>
            <a:ext uri="{FF2B5EF4-FFF2-40B4-BE49-F238E27FC236}">
              <a16:creationId xmlns:a16="http://schemas.microsoft.com/office/drawing/2014/main" id="{D17FD37F-98CD-4C4C-98E7-8C3ADC257A46}"/>
            </a:ext>
          </a:extLst>
        </xdr:cNvPr>
        <xdr:cNvGrpSpPr/>
      </xdr:nvGrpSpPr>
      <xdr:grpSpPr>
        <a:xfrm>
          <a:off x="49390" y="1328520"/>
          <a:ext cx="1443968" cy="738145"/>
          <a:chOff x="52294" y="1927412"/>
          <a:chExt cx="1441824" cy="732117"/>
        </a:xfrm>
      </xdr:grpSpPr>
      <xdr:sp macro="" textlink="">
        <xdr:nvSpPr>
          <xdr:cNvPr id="57" name="Rectangle: Rounded Corners 56">
            <a:extLst>
              <a:ext uri="{FF2B5EF4-FFF2-40B4-BE49-F238E27FC236}">
                <a16:creationId xmlns:a16="http://schemas.microsoft.com/office/drawing/2014/main" id="{78FB2398-C0D9-52A4-934D-A83732AF96E6}"/>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8" name="TextBox 57">
            <a:hlinkClick xmlns:r="http://schemas.openxmlformats.org/officeDocument/2006/relationships" r:id="rId7"/>
            <a:extLst>
              <a:ext uri="{FF2B5EF4-FFF2-40B4-BE49-F238E27FC236}">
                <a16:creationId xmlns:a16="http://schemas.microsoft.com/office/drawing/2014/main" id="{F9482A33-94C1-F62B-2EBB-CC3922FCA594}"/>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a:t>
            </a:r>
            <a:endParaRPr lang="en-GB" sz="1600" b="1">
              <a:solidFill>
                <a:schemeClr val="bg1"/>
              </a:solidFill>
            </a:endParaRPr>
          </a:p>
        </xdr:txBody>
      </xdr:sp>
    </xdr:grpSp>
    <xdr:clientData/>
  </xdr:twoCellAnchor>
  <xdr:twoCellAnchor>
    <xdr:from>
      <xdr:col>0</xdr:col>
      <xdr:colOff>41544</xdr:colOff>
      <xdr:row>10</xdr:row>
      <xdr:rowOff>178037</xdr:rowOff>
    </xdr:from>
    <xdr:to>
      <xdr:col>2</xdr:col>
      <xdr:colOff>260845</xdr:colOff>
      <xdr:row>14</xdr:row>
      <xdr:rowOff>174267</xdr:rowOff>
    </xdr:to>
    <xdr:grpSp>
      <xdr:nvGrpSpPr>
        <xdr:cNvPr id="62" name="Group 61">
          <a:extLst>
            <a:ext uri="{FF2B5EF4-FFF2-40B4-BE49-F238E27FC236}">
              <a16:creationId xmlns:a16="http://schemas.microsoft.com/office/drawing/2014/main" id="{B9457EC2-A028-4DA6-A029-DDCF2C34919A}"/>
            </a:ext>
          </a:extLst>
        </xdr:cNvPr>
        <xdr:cNvGrpSpPr/>
      </xdr:nvGrpSpPr>
      <xdr:grpSpPr>
        <a:xfrm>
          <a:off x="41544" y="2045684"/>
          <a:ext cx="1439497" cy="743289"/>
          <a:chOff x="52294" y="1927412"/>
          <a:chExt cx="1441824" cy="732117"/>
        </a:xfrm>
      </xdr:grpSpPr>
      <xdr:sp macro="" textlink="">
        <xdr:nvSpPr>
          <xdr:cNvPr id="63" name="Rectangle: Rounded Corners 62">
            <a:extLst>
              <a:ext uri="{FF2B5EF4-FFF2-40B4-BE49-F238E27FC236}">
                <a16:creationId xmlns:a16="http://schemas.microsoft.com/office/drawing/2014/main" id="{A1EB9FB6-F867-692C-F2D8-EBB953D8872B}"/>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64" name="TextBox 63">
            <a:hlinkClick xmlns:r="http://schemas.openxmlformats.org/officeDocument/2006/relationships" r:id="rId8"/>
            <a:extLst>
              <a:ext uri="{FF2B5EF4-FFF2-40B4-BE49-F238E27FC236}">
                <a16:creationId xmlns:a16="http://schemas.microsoft.com/office/drawing/2014/main" id="{0C8B35DF-8167-6889-71C7-219C5EC438CA}"/>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1</a:t>
            </a:r>
          </a:p>
        </xdr:txBody>
      </xdr:sp>
    </xdr:grpSp>
    <xdr:clientData/>
  </xdr:twoCellAnchor>
  <xdr:twoCellAnchor>
    <xdr:from>
      <xdr:col>0</xdr:col>
      <xdr:colOff>35608</xdr:colOff>
      <xdr:row>14</xdr:row>
      <xdr:rowOff>124627</xdr:rowOff>
    </xdr:from>
    <xdr:to>
      <xdr:col>2</xdr:col>
      <xdr:colOff>250413</xdr:colOff>
      <xdr:row>18</xdr:row>
      <xdr:rowOff>113603</xdr:rowOff>
    </xdr:to>
    <xdr:grpSp>
      <xdr:nvGrpSpPr>
        <xdr:cNvPr id="68" name="Group 67">
          <a:extLst>
            <a:ext uri="{FF2B5EF4-FFF2-40B4-BE49-F238E27FC236}">
              <a16:creationId xmlns:a16="http://schemas.microsoft.com/office/drawing/2014/main" id="{6A10F3F5-91E6-43FB-8DF1-23957F988C44}"/>
            </a:ext>
          </a:extLst>
        </xdr:cNvPr>
        <xdr:cNvGrpSpPr/>
      </xdr:nvGrpSpPr>
      <xdr:grpSpPr>
        <a:xfrm>
          <a:off x="35608" y="2739333"/>
          <a:ext cx="1435001" cy="736035"/>
          <a:chOff x="52294" y="1927412"/>
          <a:chExt cx="1441824" cy="732117"/>
        </a:xfrm>
      </xdr:grpSpPr>
      <xdr:sp macro="" textlink="">
        <xdr:nvSpPr>
          <xdr:cNvPr id="69" name="Rectangle: Rounded Corners 68">
            <a:extLst>
              <a:ext uri="{FF2B5EF4-FFF2-40B4-BE49-F238E27FC236}">
                <a16:creationId xmlns:a16="http://schemas.microsoft.com/office/drawing/2014/main" id="{317B5617-869B-D19F-2380-78B1D6ABCE9F}"/>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0" name="TextBox 69">
            <a:hlinkClick xmlns:r="http://schemas.openxmlformats.org/officeDocument/2006/relationships" r:id="rId9"/>
            <a:extLst>
              <a:ext uri="{FF2B5EF4-FFF2-40B4-BE49-F238E27FC236}">
                <a16:creationId xmlns:a16="http://schemas.microsoft.com/office/drawing/2014/main" id="{599BDD53-60D4-4E5F-6A1F-A14E35BC9907}"/>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2</a:t>
            </a:r>
            <a:endParaRPr lang="en-GB" sz="1600" b="1">
              <a:solidFill>
                <a:schemeClr val="bg1"/>
              </a:solidFill>
            </a:endParaRPr>
          </a:p>
        </xdr:txBody>
      </xdr:sp>
    </xdr:grpSp>
    <xdr:clientData/>
  </xdr:twoCellAnchor>
  <xdr:twoCellAnchor>
    <xdr:from>
      <xdr:col>0</xdr:col>
      <xdr:colOff>23739</xdr:colOff>
      <xdr:row>18</xdr:row>
      <xdr:rowOff>53412</xdr:rowOff>
    </xdr:from>
    <xdr:to>
      <xdr:col>2</xdr:col>
      <xdr:colOff>243040</xdr:colOff>
      <xdr:row>22</xdr:row>
      <xdr:rowOff>49641</xdr:rowOff>
    </xdr:to>
    <xdr:grpSp>
      <xdr:nvGrpSpPr>
        <xdr:cNvPr id="74" name="Group 73">
          <a:extLst>
            <a:ext uri="{FF2B5EF4-FFF2-40B4-BE49-F238E27FC236}">
              <a16:creationId xmlns:a16="http://schemas.microsoft.com/office/drawing/2014/main" id="{ECB52887-003F-4254-B2C3-DA081255C11E}"/>
            </a:ext>
          </a:extLst>
        </xdr:cNvPr>
        <xdr:cNvGrpSpPr/>
      </xdr:nvGrpSpPr>
      <xdr:grpSpPr>
        <a:xfrm>
          <a:off x="23739" y="3415177"/>
          <a:ext cx="1439497" cy="743288"/>
          <a:chOff x="52294" y="1927412"/>
          <a:chExt cx="1441824" cy="732117"/>
        </a:xfrm>
      </xdr:grpSpPr>
      <xdr:sp macro="" textlink="">
        <xdr:nvSpPr>
          <xdr:cNvPr id="75" name="Rectangle: Rounded Corners 74">
            <a:extLst>
              <a:ext uri="{FF2B5EF4-FFF2-40B4-BE49-F238E27FC236}">
                <a16:creationId xmlns:a16="http://schemas.microsoft.com/office/drawing/2014/main" id="{4EE2AC78-5535-300D-6C06-9886890A3C86}"/>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6" name="TextBox 75">
            <a:hlinkClick xmlns:r="http://schemas.openxmlformats.org/officeDocument/2006/relationships" r:id="rId10"/>
            <a:extLst>
              <a:ext uri="{FF2B5EF4-FFF2-40B4-BE49-F238E27FC236}">
                <a16:creationId xmlns:a16="http://schemas.microsoft.com/office/drawing/2014/main" id="{4710655B-6D58-A21F-D71B-D8819C016E64}"/>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3</a:t>
            </a:r>
            <a:endParaRPr lang="en-GB" sz="1600" b="1">
              <a:solidFill>
                <a:schemeClr val="bg1"/>
              </a:solidFill>
            </a:endParaRPr>
          </a:p>
        </xdr:txBody>
      </xdr:sp>
    </xdr:grpSp>
    <xdr:clientData/>
  </xdr:twoCellAnchor>
  <xdr:twoCellAnchor editAs="oneCell">
    <xdr:from>
      <xdr:col>2</xdr:col>
      <xdr:colOff>320361</xdr:colOff>
      <xdr:row>24</xdr:row>
      <xdr:rowOff>69278</xdr:rowOff>
    </xdr:from>
    <xdr:to>
      <xdr:col>5</xdr:col>
      <xdr:colOff>59120</xdr:colOff>
      <xdr:row>33</xdr:row>
      <xdr:rowOff>74680</xdr:rowOff>
    </xdr:to>
    <mc:AlternateContent xmlns:mc="http://schemas.openxmlformats.org/markup-compatibility/2006" xmlns:a14="http://schemas.microsoft.com/office/drawing/2010/main">
      <mc:Choice Requires="a14">
        <xdr:graphicFrame macro="">
          <xdr:nvGraphicFramePr>
            <xdr:cNvPr id="78" name="Category 2">
              <a:extLst>
                <a:ext uri="{FF2B5EF4-FFF2-40B4-BE49-F238E27FC236}">
                  <a16:creationId xmlns:a16="http://schemas.microsoft.com/office/drawing/2014/main" id="{43756660-9192-46F6-B355-9F0708E985B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540557" y="4551631"/>
              <a:ext cx="1569053" cy="16862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345762</xdr:colOff>
      <xdr:row>16</xdr:row>
      <xdr:rowOff>6351</xdr:rowOff>
    </xdr:from>
    <xdr:to>
      <xdr:col>5</xdr:col>
      <xdr:colOff>49425</xdr:colOff>
      <xdr:row>23</xdr:row>
      <xdr:rowOff>181538</xdr:rowOff>
    </xdr:to>
    <mc:AlternateContent xmlns:mc="http://schemas.openxmlformats.org/markup-compatibility/2006" xmlns:a14="http://schemas.microsoft.com/office/drawing/2010/main">
      <mc:Choice Requires="a14">
        <xdr:graphicFrame macro="">
          <xdr:nvGraphicFramePr>
            <xdr:cNvPr id="80" name="Product 2">
              <a:extLst>
                <a:ext uri="{FF2B5EF4-FFF2-40B4-BE49-F238E27FC236}">
                  <a16:creationId xmlns:a16="http://schemas.microsoft.com/office/drawing/2014/main" id="{6E78EC20-7445-471F-9CD9-D05C23AED162}"/>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565958" y="2994586"/>
              <a:ext cx="1533957" cy="14825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340041</xdr:colOff>
      <xdr:row>7</xdr:row>
      <xdr:rowOff>74998</xdr:rowOff>
    </xdr:from>
    <xdr:to>
      <xdr:col>5</xdr:col>
      <xdr:colOff>71616</xdr:colOff>
      <xdr:row>16</xdr:row>
      <xdr:rowOff>51123</xdr:rowOff>
    </xdr:to>
    <mc:AlternateContent xmlns:mc="http://schemas.openxmlformats.org/markup-compatibility/2006" xmlns:a14="http://schemas.microsoft.com/office/drawing/2010/main">
      <mc:Choice Requires="a14">
        <xdr:graphicFrame macro="">
          <xdr:nvGraphicFramePr>
            <xdr:cNvPr id="81" name="Salesperson 2">
              <a:extLst>
                <a:ext uri="{FF2B5EF4-FFF2-40B4-BE49-F238E27FC236}">
                  <a16:creationId xmlns:a16="http://schemas.microsoft.com/office/drawing/2014/main" id="{DDCA83BB-7DF6-4E0E-A7A8-E978B7ADC147}"/>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1560237" y="1382351"/>
              <a:ext cx="1561869" cy="16570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317158</xdr:colOff>
      <xdr:row>0</xdr:row>
      <xdr:rowOff>103602</xdr:rowOff>
    </xdr:from>
    <xdr:to>
      <xdr:col>5</xdr:col>
      <xdr:colOff>78930</xdr:colOff>
      <xdr:row>7</xdr:row>
      <xdr:rowOff>142790</xdr:rowOff>
    </xdr:to>
    <mc:AlternateContent xmlns:mc="http://schemas.openxmlformats.org/markup-compatibility/2006" xmlns:a14="http://schemas.microsoft.com/office/drawing/2010/main">
      <mc:Choice Requires="a14">
        <xdr:graphicFrame macro="">
          <xdr:nvGraphicFramePr>
            <xdr:cNvPr id="83" name="Region 2">
              <a:extLst>
                <a:ext uri="{FF2B5EF4-FFF2-40B4-BE49-F238E27FC236}">
                  <a16:creationId xmlns:a16="http://schemas.microsoft.com/office/drawing/2014/main" id="{6942D292-ECDD-47CB-AB0C-4E80A8F485E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37354" y="103602"/>
              <a:ext cx="1592066" cy="13465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25401</xdr:colOff>
      <xdr:row>0</xdr:row>
      <xdr:rowOff>6350</xdr:rowOff>
    </xdr:from>
    <xdr:to>
      <xdr:col>23</xdr:col>
      <xdr:colOff>36496</xdr:colOff>
      <xdr:row>33</xdr:row>
      <xdr:rowOff>160574</xdr:rowOff>
    </xdr:to>
    <xdr:sp macro="" textlink="">
      <xdr:nvSpPr>
        <xdr:cNvPr id="2" name="Rectangle 1">
          <a:extLst>
            <a:ext uri="{FF2B5EF4-FFF2-40B4-BE49-F238E27FC236}">
              <a16:creationId xmlns:a16="http://schemas.microsoft.com/office/drawing/2014/main" id="{125CFC1E-A2CF-41C6-A13C-801F326B20EE}"/>
            </a:ext>
          </a:extLst>
        </xdr:cNvPr>
        <xdr:cNvSpPr/>
      </xdr:nvSpPr>
      <xdr:spPr>
        <a:xfrm>
          <a:off x="25401" y="6350"/>
          <a:ext cx="13997239" cy="6192105"/>
        </a:xfrm>
        <a:prstGeom prst="rect">
          <a:avLst/>
        </a:prstGeom>
        <a:solidFill>
          <a:srgbClr val="0C0B10"/>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u="sng"/>
        </a:p>
      </xdr:txBody>
    </xdr:sp>
    <xdr:clientData/>
  </xdr:twoCellAnchor>
  <xdr:twoCellAnchor>
    <xdr:from>
      <xdr:col>0</xdr:col>
      <xdr:colOff>1</xdr:colOff>
      <xdr:row>0</xdr:row>
      <xdr:rowOff>0</xdr:rowOff>
    </xdr:from>
    <xdr:to>
      <xdr:col>2</xdr:col>
      <xdr:colOff>242161</xdr:colOff>
      <xdr:row>33</xdr:row>
      <xdr:rowOff>145976</xdr:rowOff>
    </xdr:to>
    <xdr:sp macro="" textlink="">
      <xdr:nvSpPr>
        <xdr:cNvPr id="3" name="Rectangle 2">
          <a:extLst>
            <a:ext uri="{FF2B5EF4-FFF2-40B4-BE49-F238E27FC236}">
              <a16:creationId xmlns:a16="http://schemas.microsoft.com/office/drawing/2014/main" id="{9394EC2B-ABF4-447E-9DA3-3631B434D68A}"/>
            </a:ext>
          </a:extLst>
        </xdr:cNvPr>
        <xdr:cNvSpPr/>
      </xdr:nvSpPr>
      <xdr:spPr>
        <a:xfrm>
          <a:off x="1" y="0"/>
          <a:ext cx="1458346" cy="6183857"/>
        </a:xfrm>
        <a:prstGeom prst="rect">
          <a:avLst/>
        </a:prstGeom>
        <a:gradFill>
          <a:gsLst>
            <a:gs pos="100000">
              <a:srgbClr val="6B3FA0"/>
            </a:gs>
            <a:gs pos="100000">
              <a:schemeClr val="accent1">
                <a:lumMod val="45000"/>
                <a:lumOff val="55000"/>
              </a:schemeClr>
            </a:gs>
            <a:gs pos="100000">
              <a:schemeClr val="accent1">
                <a:lumMod val="45000"/>
                <a:lumOff val="55000"/>
              </a:schemeClr>
            </a:gs>
            <a:gs pos="51000">
              <a:srgbClr val="0C0B1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544932</xdr:colOff>
      <xdr:row>1</xdr:row>
      <xdr:rowOff>54669</xdr:rowOff>
    </xdr:from>
    <xdr:to>
      <xdr:col>9</xdr:col>
      <xdr:colOff>500482</xdr:colOff>
      <xdr:row>6</xdr:row>
      <xdr:rowOff>48318</xdr:rowOff>
    </xdr:to>
    <xdr:grpSp>
      <xdr:nvGrpSpPr>
        <xdr:cNvPr id="4" name="Group 3">
          <a:extLst>
            <a:ext uri="{FF2B5EF4-FFF2-40B4-BE49-F238E27FC236}">
              <a16:creationId xmlns:a16="http://schemas.microsoft.com/office/drawing/2014/main" id="{C5D831EB-DAA0-4B6E-AAC4-88BB77483206}"/>
            </a:ext>
          </a:extLst>
        </xdr:cNvPr>
        <xdr:cNvGrpSpPr/>
      </xdr:nvGrpSpPr>
      <xdr:grpSpPr>
        <a:xfrm>
          <a:off x="4183696" y="240175"/>
          <a:ext cx="1774932" cy="921177"/>
          <a:chOff x="4413250" y="971550"/>
          <a:chExt cx="1784350" cy="914400"/>
        </a:xfrm>
        <a:solidFill>
          <a:srgbClr val="1A1723"/>
        </a:solidFill>
      </xdr:grpSpPr>
      <xdr:sp macro="" textlink="pivot!F33">
        <xdr:nvSpPr>
          <xdr:cNvPr id="5" name="Rectangle: Rounded Corners 4">
            <a:extLst>
              <a:ext uri="{FF2B5EF4-FFF2-40B4-BE49-F238E27FC236}">
                <a16:creationId xmlns:a16="http://schemas.microsoft.com/office/drawing/2014/main" id="{2326EA5F-83F7-1C7C-146A-05B8CE77A351}"/>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88E6B9B-CD42-44A4-9414-D9011F05DE5E}" type="TxLink">
              <a:rPr lang="en-US" sz="1800" b="1" i="0" u="none" strike="noStrike">
                <a:solidFill>
                  <a:schemeClr val="bg1"/>
                </a:solidFill>
                <a:latin typeface="Calibri"/>
                <a:ea typeface="Calibri"/>
                <a:cs typeface="Calibri"/>
              </a:rPr>
              <a:pPr algn="ctr"/>
              <a:t> ₦36,014,075 </a:t>
            </a:fld>
            <a:endParaRPr lang="en-GB" sz="1800" b="1">
              <a:solidFill>
                <a:schemeClr val="bg1"/>
              </a:solidFill>
            </a:endParaRPr>
          </a:p>
        </xdr:txBody>
      </xdr:sp>
      <xdr:sp macro="" textlink="">
        <xdr:nvSpPr>
          <xdr:cNvPr id="6" name="TextBox 5">
            <a:extLst>
              <a:ext uri="{FF2B5EF4-FFF2-40B4-BE49-F238E27FC236}">
                <a16:creationId xmlns:a16="http://schemas.microsoft.com/office/drawing/2014/main" id="{FDA5A240-6800-B871-ED71-D7F0B8BF3319}"/>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bg1"/>
                </a:solidFill>
              </a:rPr>
              <a:t>    </a:t>
            </a:r>
            <a:r>
              <a:rPr lang="en-GB" sz="1800" b="1">
                <a:solidFill>
                  <a:schemeClr val="bg1"/>
                </a:solidFill>
              </a:rPr>
              <a:t>TOTAL SALES</a:t>
            </a:r>
          </a:p>
        </xdr:txBody>
      </xdr:sp>
    </xdr:grpSp>
    <xdr:clientData/>
  </xdr:twoCellAnchor>
  <xdr:twoCellAnchor>
    <xdr:from>
      <xdr:col>12</xdr:col>
      <xdr:colOff>379686</xdr:colOff>
      <xdr:row>1</xdr:row>
      <xdr:rowOff>54669</xdr:rowOff>
    </xdr:from>
    <xdr:to>
      <xdr:col>15</xdr:col>
      <xdr:colOff>335236</xdr:colOff>
      <xdr:row>6</xdr:row>
      <xdr:rowOff>48318</xdr:rowOff>
    </xdr:to>
    <xdr:grpSp>
      <xdr:nvGrpSpPr>
        <xdr:cNvPr id="7" name="Group 6">
          <a:extLst>
            <a:ext uri="{FF2B5EF4-FFF2-40B4-BE49-F238E27FC236}">
              <a16:creationId xmlns:a16="http://schemas.microsoft.com/office/drawing/2014/main" id="{09FB138A-9FC1-4A98-B7FD-2D2B213851BB}"/>
            </a:ext>
          </a:extLst>
        </xdr:cNvPr>
        <xdr:cNvGrpSpPr/>
      </xdr:nvGrpSpPr>
      <xdr:grpSpPr>
        <a:xfrm>
          <a:off x="7657214" y="240175"/>
          <a:ext cx="1774932" cy="921177"/>
          <a:chOff x="4413250" y="971550"/>
          <a:chExt cx="1784350" cy="914400"/>
        </a:xfrm>
        <a:solidFill>
          <a:srgbClr val="0C0B10"/>
        </a:solidFill>
      </xdr:grpSpPr>
      <xdr:sp macro="" textlink="pivot!S24">
        <xdr:nvSpPr>
          <xdr:cNvPr id="8" name="Rectangle: Rounded Corners 7">
            <a:extLst>
              <a:ext uri="{FF2B5EF4-FFF2-40B4-BE49-F238E27FC236}">
                <a16:creationId xmlns:a16="http://schemas.microsoft.com/office/drawing/2014/main" id="{38FAA2D9-C32C-9531-D169-C17DE904D19A}"/>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CF5533-CAF0-42E6-8CAB-1988CFC5B317}" type="TxLink">
              <a:rPr lang="en-US" sz="1800" b="1" i="0" u="none" strike="noStrike">
                <a:solidFill>
                  <a:schemeClr val="bg1"/>
                </a:solidFill>
                <a:latin typeface="Calibri"/>
                <a:ea typeface="Calibri"/>
                <a:cs typeface="Calibri"/>
              </a:rPr>
              <a:pPr algn="ctr"/>
              <a:t> ₦10,671,625 </a:t>
            </a:fld>
            <a:endParaRPr lang="en-GB" sz="1800" b="1">
              <a:solidFill>
                <a:schemeClr val="bg1"/>
              </a:solidFill>
            </a:endParaRPr>
          </a:p>
        </xdr:txBody>
      </xdr:sp>
      <xdr:sp macro="" textlink="">
        <xdr:nvSpPr>
          <xdr:cNvPr id="9" name="TextBox 8">
            <a:extLst>
              <a:ext uri="{FF2B5EF4-FFF2-40B4-BE49-F238E27FC236}">
                <a16:creationId xmlns:a16="http://schemas.microsoft.com/office/drawing/2014/main" id="{3AA986BE-021D-C2FC-1051-154034931BBD}"/>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solidFill>
                  <a:schemeClr val="bg1"/>
                </a:solidFill>
              </a:rPr>
              <a:t>    </a:t>
            </a:r>
            <a:r>
              <a:rPr lang="en-GB" sz="1800" b="1">
                <a:solidFill>
                  <a:schemeClr val="bg1"/>
                </a:solidFill>
              </a:rPr>
              <a:t>TOTAL PROFIT</a:t>
            </a:r>
          </a:p>
        </xdr:txBody>
      </xdr:sp>
    </xdr:grpSp>
    <xdr:clientData/>
  </xdr:twoCellAnchor>
  <xdr:twoCellAnchor>
    <xdr:from>
      <xdr:col>18</xdr:col>
      <xdr:colOff>214440</xdr:colOff>
      <xdr:row>1</xdr:row>
      <xdr:rowOff>54669</xdr:rowOff>
    </xdr:from>
    <xdr:to>
      <xdr:col>21</xdr:col>
      <xdr:colOff>169990</xdr:colOff>
      <xdr:row>6</xdr:row>
      <xdr:rowOff>48318</xdr:rowOff>
    </xdr:to>
    <xdr:grpSp>
      <xdr:nvGrpSpPr>
        <xdr:cNvPr id="10" name="Group 9">
          <a:extLst>
            <a:ext uri="{FF2B5EF4-FFF2-40B4-BE49-F238E27FC236}">
              <a16:creationId xmlns:a16="http://schemas.microsoft.com/office/drawing/2014/main" id="{B746552F-68E9-413D-B5D5-7FA74D9FDF60}"/>
            </a:ext>
          </a:extLst>
        </xdr:cNvPr>
        <xdr:cNvGrpSpPr/>
      </xdr:nvGrpSpPr>
      <xdr:grpSpPr>
        <a:xfrm>
          <a:off x="11130732" y="240175"/>
          <a:ext cx="1774932" cy="921177"/>
          <a:chOff x="4413250" y="971550"/>
          <a:chExt cx="1784350" cy="914400"/>
        </a:xfrm>
        <a:solidFill>
          <a:srgbClr val="1A1723"/>
        </a:solidFill>
      </xdr:grpSpPr>
      <xdr:sp macro="" textlink="pivot!O30">
        <xdr:nvSpPr>
          <xdr:cNvPr id="11" name="Rectangle: Rounded Corners 10">
            <a:extLst>
              <a:ext uri="{FF2B5EF4-FFF2-40B4-BE49-F238E27FC236}">
                <a16:creationId xmlns:a16="http://schemas.microsoft.com/office/drawing/2014/main" id="{8BC3583D-F3F6-0EE0-008D-45A6059EE6CB}"/>
              </a:ext>
            </a:extLst>
          </xdr:cNvPr>
          <xdr:cNvSpPr/>
        </xdr:nvSpPr>
        <xdr:spPr>
          <a:xfrm>
            <a:off x="4413250" y="971550"/>
            <a:ext cx="1784350" cy="914400"/>
          </a:xfrm>
          <a:prstGeom prst="round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20B6D87-3453-4C56-B0EF-B282365507AB}" type="TxLink">
              <a:rPr lang="en-US" sz="1800" b="1" i="0" u="none" strike="noStrike">
                <a:solidFill>
                  <a:schemeClr val="bg1"/>
                </a:solidFill>
                <a:latin typeface="Calibri"/>
                <a:ea typeface="Calibri"/>
                <a:cs typeface="Calibri"/>
              </a:rPr>
              <a:pPr algn="ctr"/>
              <a:t> ₦25,342,450 </a:t>
            </a:fld>
            <a:endParaRPr lang="en-GB" sz="1800" b="1">
              <a:solidFill>
                <a:schemeClr val="bg1"/>
              </a:solidFill>
            </a:endParaRPr>
          </a:p>
        </xdr:txBody>
      </xdr:sp>
      <xdr:sp macro="" textlink="">
        <xdr:nvSpPr>
          <xdr:cNvPr id="12" name="TextBox 11">
            <a:extLst>
              <a:ext uri="{FF2B5EF4-FFF2-40B4-BE49-F238E27FC236}">
                <a16:creationId xmlns:a16="http://schemas.microsoft.com/office/drawing/2014/main" id="{F793C053-BF33-81EE-679D-1F8D31CC7C6D}"/>
              </a:ext>
            </a:extLst>
          </xdr:cNvPr>
          <xdr:cNvSpPr txBox="1"/>
        </xdr:nvSpPr>
        <xdr:spPr>
          <a:xfrm>
            <a:off x="4425950" y="1047750"/>
            <a:ext cx="1746250" cy="260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800" b="1">
                <a:solidFill>
                  <a:schemeClr val="bg1"/>
                </a:solidFill>
              </a:rPr>
              <a:t>    TOTAL COST</a:t>
            </a:r>
          </a:p>
        </xdr:txBody>
      </xdr:sp>
    </xdr:grpSp>
    <xdr:clientData/>
  </xdr:twoCellAnchor>
  <xdr:twoCellAnchor>
    <xdr:from>
      <xdr:col>5</xdr:col>
      <xdr:colOff>204368</xdr:colOff>
      <xdr:row>21</xdr:row>
      <xdr:rowOff>134055</xdr:rowOff>
    </xdr:from>
    <xdr:to>
      <xdr:col>22</xdr:col>
      <xdr:colOff>503621</xdr:colOff>
      <xdr:row>33</xdr:row>
      <xdr:rowOff>51090</xdr:rowOff>
    </xdr:to>
    <xdr:sp macro="" textlink="">
      <xdr:nvSpPr>
        <xdr:cNvPr id="14" name="Rectangle: Rounded Corners 24">
          <a:extLst>
            <a:ext uri="{FF2B5EF4-FFF2-40B4-BE49-F238E27FC236}">
              <a16:creationId xmlns:a16="http://schemas.microsoft.com/office/drawing/2014/main" id="{D025A680-D56F-4C49-814E-E11FF4314B7D}"/>
            </a:ext>
          </a:extLst>
        </xdr:cNvPr>
        <xdr:cNvSpPr/>
      </xdr:nvSpPr>
      <xdr:spPr>
        <a:xfrm>
          <a:off x="3252368" y="4001205"/>
          <a:ext cx="10662453" cy="2126835"/>
        </a:xfrm>
        <a:prstGeom prst="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a:p>
      </xdr:txBody>
    </xdr:sp>
    <xdr:clientData/>
  </xdr:twoCellAnchor>
  <xdr:twoCellAnchor>
    <xdr:from>
      <xdr:col>5</xdr:col>
      <xdr:colOff>226265</xdr:colOff>
      <xdr:row>6</xdr:row>
      <xdr:rowOff>153276</xdr:rowOff>
    </xdr:from>
    <xdr:to>
      <xdr:col>22</xdr:col>
      <xdr:colOff>532816</xdr:colOff>
      <xdr:row>20</xdr:row>
      <xdr:rowOff>51092</xdr:rowOff>
    </xdr:to>
    <xdr:sp macro="" textlink="">
      <xdr:nvSpPr>
        <xdr:cNvPr id="15" name="Rectangle: Rounded Corners 27">
          <a:extLst>
            <a:ext uri="{FF2B5EF4-FFF2-40B4-BE49-F238E27FC236}">
              <a16:creationId xmlns:a16="http://schemas.microsoft.com/office/drawing/2014/main" id="{BADC4DD6-B160-4C4C-88A0-D5C8A40836AB}"/>
            </a:ext>
          </a:extLst>
        </xdr:cNvPr>
        <xdr:cNvSpPr/>
      </xdr:nvSpPr>
      <xdr:spPr>
        <a:xfrm>
          <a:off x="3274265" y="1258176"/>
          <a:ext cx="10669751" cy="2475916"/>
        </a:xfrm>
        <a:prstGeom prst="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325505</xdr:colOff>
      <xdr:row>7</xdr:row>
      <xdr:rowOff>57693</xdr:rowOff>
    </xdr:from>
    <xdr:to>
      <xdr:col>20</xdr:col>
      <xdr:colOff>303388</xdr:colOff>
      <xdr:row>19</xdr:row>
      <xdr:rowOff>169334</xdr:rowOff>
    </xdr:to>
    <xdr:graphicFrame macro="">
      <xdr:nvGraphicFramePr>
        <xdr:cNvPr id="16" name="Chart 4">
          <a:extLst>
            <a:ext uri="{FF2B5EF4-FFF2-40B4-BE49-F238E27FC236}">
              <a16:creationId xmlns:a16="http://schemas.microsoft.com/office/drawing/2014/main" id="{65C65518-73A5-6A19-25B0-F06FB435A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275167</xdr:colOff>
      <xdr:row>21</xdr:row>
      <xdr:rowOff>162278</xdr:rowOff>
    </xdr:from>
    <xdr:to>
      <xdr:col>14</xdr:col>
      <xdr:colOff>564444</xdr:colOff>
      <xdr:row>34</xdr:row>
      <xdr:rowOff>0</xdr:rowOff>
    </xdr:to>
    <xdr:graphicFrame macro="">
      <xdr:nvGraphicFramePr>
        <xdr:cNvPr id="17" name="Chart 1">
          <a:extLst>
            <a:ext uri="{FF2B5EF4-FFF2-40B4-BE49-F238E27FC236}">
              <a16:creationId xmlns:a16="http://schemas.microsoft.com/office/drawing/2014/main" id="{76E8A3FE-0E83-726F-9215-A0A013B3D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22</xdr:row>
      <xdr:rowOff>11017</xdr:rowOff>
    </xdr:from>
    <xdr:to>
      <xdr:col>22</xdr:col>
      <xdr:colOff>504880</xdr:colOff>
      <xdr:row>34</xdr:row>
      <xdr:rowOff>7056</xdr:rowOff>
    </xdr:to>
    <xdr:graphicFrame macro="">
      <xdr:nvGraphicFramePr>
        <xdr:cNvPr id="18" name="Chart 2">
          <a:extLst>
            <a:ext uri="{FF2B5EF4-FFF2-40B4-BE49-F238E27FC236}">
              <a16:creationId xmlns:a16="http://schemas.microsoft.com/office/drawing/2014/main" id="{8D611C71-9248-A864-7691-51D79AE5C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96864</xdr:rowOff>
    </xdr:from>
    <xdr:to>
      <xdr:col>2</xdr:col>
      <xdr:colOff>440996</xdr:colOff>
      <xdr:row>6</xdr:row>
      <xdr:rowOff>121428</xdr:rowOff>
    </xdr:to>
    <xdr:pic>
      <xdr:nvPicPr>
        <xdr:cNvPr id="22" name="Graphic 21" descr="Unfollow with solid fill">
          <a:extLst>
            <a:ext uri="{FF2B5EF4-FFF2-40B4-BE49-F238E27FC236}">
              <a16:creationId xmlns:a16="http://schemas.microsoft.com/office/drawing/2014/main" id="{2ED128A5-B55A-48F2-8556-DC1E7926756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96864"/>
          <a:ext cx="1657182" cy="1122361"/>
        </a:xfrm>
        <a:prstGeom prst="rect">
          <a:avLst/>
        </a:prstGeom>
      </xdr:spPr>
    </xdr:pic>
    <xdr:clientData/>
  </xdr:twoCellAnchor>
  <xdr:twoCellAnchor>
    <xdr:from>
      <xdr:col>0</xdr:col>
      <xdr:colOff>0</xdr:colOff>
      <xdr:row>6</xdr:row>
      <xdr:rowOff>139915</xdr:rowOff>
    </xdr:from>
    <xdr:to>
      <xdr:col>2</xdr:col>
      <xdr:colOff>231820</xdr:colOff>
      <xdr:row>10</xdr:row>
      <xdr:rowOff>131390</xdr:rowOff>
    </xdr:to>
    <xdr:grpSp>
      <xdr:nvGrpSpPr>
        <xdr:cNvPr id="26" name="Group 25">
          <a:extLst>
            <a:ext uri="{FF2B5EF4-FFF2-40B4-BE49-F238E27FC236}">
              <a16:creationId xmlns:a16="http://schemas.microsoft.com/office/drawing/2014/main" id="{9767CD0E-0F14-4E7D-AAC2-C32BC4BC4A1A}"/>
            </a:ext>
          </a:extLst>
        </xdr:cNvPr>
        <xdr:cNvGrpSpPr/>
      </xdr:nvGrpSpPr>
      <xdr:grpSpPr>
        <a:xfrm>
          <a:off x="0" y="1252949"/>
          <a:ext cx="1444741" cy="733497"/>
          <a:chOff x="52294" y="1927412"/>
          <a:chExt cx="1441824" cy="732117"/>
        </a:xfrm>
      </xdr:grpSpPr>
      <xdr:sp macro="" textlink="">
        <xdr:nvSpPr>
          <xdr:cNvPr id="27" name="Rectangle: Rounded Corners 26">
            <a:extLst>
              <a:ext uri="{FF2B5EF4-FFF2-40B4-BE49-F238E27FC236}">
                <a16:creationId xmlns:a16="http://schemas.microsoft.com/office/drawing/2014/main" id="{74A66912-FAC0-1152-11FD-1BFD8AE84273}"/>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8" name="TextBox 27">
            <a:hlinkClick xmlns:r="http://schemas.openxmlformats.org/officeDocument/2006/relationships" r:id="rId6"/>
            <a:extLst>
              <a:ext uri="{FF2B5EF4-FFF2-40B4-BE49-F238E27FC236}">
                <a16:creationId xmlns:a16="http://schemas.microsoft.com/office/drawing/2014/main" id="{7CA4C56A-6F44-3785-8174-B9EAB7F0C280}"/>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a:t>
            </a:r>
            <a:endParaRPr lang="en-GB" sz="1600" b="1">
              <a:solidFill>
                <a:schemeClr val="bg1"/>
              </a:solidFill>
            </a:endParaRPr>
          </a:p>
        </xdr:txBody>
      </xdr:sp>
    </xdr:grpSp>
    <xdr:clientData/>
  </xdr:twoCellAnchor>
  <xdr:twoCellAnchor>
    <xdr:from>
      <xdr:col>0</xdr:col>
      <xdr:colOff>0</xdr:colOff>
      <xdr:row>10</xdr:row>
      <xdr:rowOff>92452</xdr:rowOff>
    </xdr:from>
    <xdr:to>
      <xdr:col>2</xdr:col>
      <xdr:colOff>223137</xdr:colOff>
      <xdr:row>14</xdr:row>
      <xdr:rowOff>80529</xdr:rowOff>
    </xdr:to>
    <xdr:grpSp>
      <xdr:nvGrpSpPr>
        <xdr:cNvPr id="44" name="Group 43">
          <a:extLst>
            <a:ext uri="{FF2B5EF4-FFF2-40B4-BE49-F238E27FC236}">
              <a16:creationId xmlns:a16="http://schemas.microsoft.com/office/drawing/2014/main" id="{06480F44-89A6-4C62-87FC-CC58BF6AA8D3}"/>
            </a:ext>
          </a:extLst>
        </xdr:cNvPr>
        <xdr:cNvGrpSpPr/>
      </xdr:nvGrpSpPr>
      <xdr:grpSpPr>
        <a:xfrm>
          <a:off x="0" y="1947508"/>
          <a:ext cx="1436058" cy="730100"/>
          <a:chOff x="52294" y="1927412"/>
          <a:chExt cx="1441824" cy="732117"/>
        </a:xfrm>
      </xdr:grpSpPr>
      <xdr:sp macro="" textlink="">
        <xdr:nvSpPr>
          <xdr:cNvPr id="45" name="Rectangle: Rounded Corners 44">
            <a:extLst>
              <a:ext uri="{FF2B5EF4-FFF2-40B4-BE49-F238E27FC236}">
                <a16:creationId xmlns:a16="http://schemas.microsoft.com/office/drawing/2014/main" id="{BD75204B-218C-896E-F471-A7C89F7B291F}"/>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6" name="TextBox 45">
            <a:hlinkClick xmlns:r="http://schemas.openxmlformats.org/officeDocument/2006/relationships" r:id="rId7"/>
            <a:extLst>
              <a:ext uri="{FF2B5EF4-FFF2-40B4-BE49-F238E27FC236}">
                <a16:creationId xmlns:a16="http://schemas.microsoft.com/office/drawing/2014/main" id="{E5855CD0-DB4E-529C-2B18-83382B839AE6}"/>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1</a:t>
            </a:r>
          </a:p>
        </xdr:txBody>
      </xdr:sp>
    </xdr:grpSp>
    <xdr:clientData/>
  </xdr:twoCellAnchor>
  <xdr:twoCellAnchor>
    <xdr:from>
      <xdr:col>0</xdr:col>
      <xdr:colOff>21525</xdr:colOff>
      <xdr:row>14</xdr:row>
      <xdr:rowOff>21526</xdr:rowOff>
    </xdr:from>
    <xdr:to>
      <xdr:col>2</xdr:col>
      <xdr:colOff>244378</xdr:colOff>
      <xdr:row>18</xdr:row>
      <xdr:rowOff>10889</xdr:rowOff>
    </xdr:to>
    <xdr:grpSp>
      <xdr:nvGrpSpPr>
        <xdr:cNvPr id="50" name="Group 49">
          <a:extLst>
            <a:ext uri="{FF2B5EF4-FFF2-40B4-BE49-F238E27FC236}">
              <a16:creationId xmlns:a16="http://schemas.microsoft.com/office/drawing/2014/main" id="{E06D808F-78E5-4F50-B7AD-3FFFA1705D2F}"/>
            </a:ext>
          </a:extLst>
        </xdr:cNvPr>
        <xdr:cNvGrpSpPr/>
      </xdr:nvGrpSpPr>
      <xdr:grpSpPr>
        <a:xfrm>
          <a:off x="21525" y="2618605"/>
          <a:ext cx="1435774" cy="731385"/>
          <a:chOff x="52294" y="1927412"/>
          <a:chExt cx="1441824" cy="732117"/>
        </a:xfrm>
      </xdr:grpSpPr>
      <xdr:sp macro="" textlink="">
        <xdr:nvSpPr>
          <xdr:cNvPr id="51" name="Rectangle: Rounded Corners 50">
            <a:extLst>
              <a:ext uri="{FF2B5EF4-FFF2-40B4-BE49-F238E27FC236}">
                <a16:creationId xmlns:a16="http://schemas.microsoft.com/office/drawing/2014/main" id="{E28148BC-8633-E5DD-0A03-ACB976F046E6}"/>
              </a:ext>
            </a:extLst>
          </xdr:cNvPr>
          <xdr:cNvSpPr/>
        </xdr:nvSpPr>
        <xdr:spPr>
          <a:xfrm>
            <a:off x="52294" y="1927412"/>
            <a:ext cx="1441824" cy="732117"/>
          </a:xfrm>
          <a:prstGeom prst="roundRect">
            <a:avLst/>
          </a:prstGeom>
          <a:solidFill>
            <a:srgbClr val="1A17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2" name="TextBox 51">
            <a:hlinkClick xmlns:r="http://schemas.openxmlformats.org/officeDocument/2006/relationships" r:id="rId8"/>
            <a:extLst>
              <a:ext uri="{FF2B5EF4-FFF2-40B4-BE49-F238E27FC236}">
                <a16:creationId xmlns:a16="http://schemas.microsoft.com/office/drawing/2014/main" id="{2883AC44-3370-A57D-5BCB-68FA5F9AB6B7}"/>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2</a:t>
            </a:r>
            <a:endParaRPr lang="en-GB" sz="1600" b="1">
              <a:solidFill>
                <a:schemeClr val="bg1"/>
              </a:solidFill>
            </a:endParaRPr>
          </a:p>
        </xdr:txBody>
      </xdr:sp>
    </xdr:grpSp>
    <xdr:clientData/>
  </xdr:twoCellAnchor>
  <xdr:twoCellAnchor>
    <xdr:from>
      <xdr:col>0</xdr:col>
      <xdr:colOff>26906</xdr:colOff>
      <xdr:row>17</xdr:row>
      <xdr:rowOff>166820</xdr:rowOff>
    </xdr:from>
    <xdr:to>
      <xdr:col>2</xdr:col>
      <xdr:colOff>231398</xdr:colOff>
      <xdr:row>20</xdr:row>
      <xdr:rowOff>182965</xdr:rowOff>
    </xdr:to>
    <xdr:grpSp>
      <xdr:nvGrpSpPr>
        <xdr:cNvPr id="56" name="Group 55">
          <a:extLst>
            <a:ext uri="{FF2B5EF4-FFF2-40B4-BE49-F238E27FC236}">
              <a16:creationId xmlns:a16="http://schemas.microsoft.com/office/drawing/2014/main" id="{42B465FE-8FDC-4FB1-8A80-657E5F1A4ED6}"/>
            </a:ext>
          </a:extLst>
        </xdr:cNvPr>
        <xdr:cNvGrpSpPr/>
      </xdr:nvGrpSpPr>
      <xdr:grpSpPr>
        <a:xfrm>
          <a:off x="26906" y="3320416"/>
          <a:ext cx="1417413" cy="572661"/>
          <a:chOff x="52294" y="1927412"/>
          <a:chExt cx="1441824" cy="732117"/>
        </a:xfrm>
        <a:solidFill>
          <a:srgbClr val="1A1723"/>
        </a:solidFill>
      </xdr:grpSpPr>
      <xdr:sp macro="" textlink="">
        <xdr:nvSpPr>
          <xdr:cNvPr id="57" name="Rectangle: Rounded Corners 56">
            <a:extLst>
              <a:ext uri="{FF2B5EF4-FFF2-40B4-BE49-F238E27FC236}">
                <a16:creationId xmlns:a16="http://schemas.microsoft.com/office/drawing/2014/main" id="{56F5ABD2-D091-ABEC-35E3-F731F9926853}"/>
              </a:ext>
            </a:extLst>
          </xdr:cNvPr>
          <xdr:cNvSpPr/>
        </xdr:nvSpPr>
        <xdr:spPr>
          <a:xfrm>
            <a:off x="52294" y="1927412"/>
            <a:ext cx="1441824" cy="73211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58" name="TextBox 57">
            <a:hlinkClick xmlns:r="http://schemas.openxmlformats.org/officeDocument/2006/relationships" r:id="rId9"/>
            <a:extLst>
              <a:ext uri="{FF2B5EF4-FFF2-40B4-BE49-F238E27FC236}">
                <a16:creationId xmlns:a16="http://schemas.microsoft.com/office/drawing/2014/main" id="{838C851F-958D-EF8E-FAEE-2F66CDBA0CE2}"/>
              </a:ext>
            </a:extLst>
          </xdr:cNvPr>
          <xdr:cNvSpPr txBox="1"/>
        </xdr:nvSpPr>
        <xdr:spPr>
          <a:xfrm>
            <a:off x="97118" y="2017060"/>
            <a:ext cx="1314823" cy="4108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100">
                <a:solidFill>
                  <a:schemeClr val="bg1"/>
                </a:solidFill>
              </a:rPr>
              <a:t> </a:t>
            </a:r>
            <a:r>
              <a:rPr lang="en-GB" sz="1600" b="1">
                <a:solidFill>
                  <a:schemeClr val="bg1"/>
                </a:solidFill>
              </a:rPr>
              <a:t>Dashboard</a:t>
            </a:r>
            <a:r>
              <a:rPr lang="en-GB" sz="1600" b="1" baseline="0">
                <a:solidFill>
                  <a:schemeClr val="bg1"/>
                </a:solidFill>
              </a:rPr>
              <a:t> 3</a:t>
            </a:r>
            <a:endParaRPr lang="en-GB" sz="1600" b="1">
              <a:solidFill>
                <a:schemeClr val="bg1"/>
              </a:solidFill>
            </a:endParaRPr>
          </a:p>
        </xdr:txBody>
      </xdr:sp>
    </xdr:grpSp>
    <xdr:clientData/>
  </xdr:twoCellAnchor>
  <xdr:twoCellAnchor editAs="oneCell">
    <xdr:from>
      <xdr:col>2</xdr:col>
      <xdr:colOff>297543</xdr:colOff>
      <xdr:row>0</xdr:row>
      <xdr:rowOff>0</xdr:rowOff>
    </xdr:from>
    <xdr:to>
      <xdr:col>5</xdr:col>
      <xdr:colOff>40760</xdr:colOff>
      <xdr:row>7</xdr:row>
      <xdr:rowOff>82483</xdr:rowOff>
    </xdr:to>
    <mc:AlternateContent xmlns:mc="http://schemas.openxmlformats.org/markup-compatibility/2006" xmlns:a14="http://schemas.microsoft.com/office/drawing/2010/main">
      <mc:Choice Requires="a14">
        <xdr:graphicFrame macro="">
          <xdr:nvGraphicFramePr>
            <xdr:cNvPr id="60" name="Region 3">
              <a:extLst>
                <a:ext uri="{FF2B5EF4-FFF2-40B4-BE49-F238E27FC236}">
                  <a16:creationId xmlns:a16="http://schemas.microsoft.com/office/drawing/2014/main" id="{C055DB6F-B865-4660-B757-555ACE4AD6C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510464" y="0"/>
              <a:ext cx="1562599" cy="13810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259745</xdr:colOff>
      <xdr:row>7</xdr:row>
      <xdr:rowOff>89505</xdr:rowOff>
    </xdr:from>
    <xdr:to>
      <xdr:col>4</xdr:col>
      <xdr:colOff>585086</xdr:colOff>
      <xdr:row>16</xdr:row>
      <xdr:rowOff>121296</xdr:rowOff>
    </xdr:to>
    <mc:AlternateContent xmlns:mc="http://schemas.openxmlformats.org/markup-compatibility/2006" xmlns:a14="http://schemas.microsoft.com/office/drawing/2010/main">
      <mc:Choice Requires="a14">
        <xdr:graphicFrame macro="">
          <xdr:nvGraphicFramePr>
            <xdr:cNvPr id="62" name="Salesperson 3">
              <a:extLst>
                <a:ext uri="{FF2B5EF4-FFF2-40B4-BE49-F238E27FC236}">
                  <a16:creationId xmlns:a16="http://schemas.microsoft.com/office/drawing/2014/main" id="{281E40E5-A672-4A8C-89E9-A637D44DC3FE}"/>
                </a:ext>
              </a:extLst>
            </xdr:cNvPr>
            <xdr:cNvGraphicFramePr/>
          </xdr:nvGraphicFramePr>
          <xdr:xfrm>
            <a:off x="0" y="0"/>
            <a:ext cx="0" cy="0"/>
          </xdr:xfrm>
          <a:graphic>
            <a:graphicData uri="http://schemas.microsoft.com/office/drawing/2010/slicer">
              <sle:slicer xmlns:sle="http://schemas.microsoft.com/office/drawing/2010/slicer" name="Salesperson 3"/>
            </a:graphicData>
          </a:graphic>
        </xdr:graphicFrame>
      </mc:Choice>
      <mc:Fallback xmlns="">
        <xdr:sp macro="" textlink="">
          <xdr:nvSpPr>
            <xdr:cNvPr id="0" name=""/>
            <xdr:cNvSpPr>
              <a:spLocks noTextEdit="1"/>
            </xdr:cNvSpPr>
          </xdr:nvSpPr>
          <xdr:spPr>
            <a:xfrm>
              <a:off x="1472666" y="1388044"/>
              <a:ext cx="1538263" cy="17013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252187</xdr:colOff>
      <xdr:row>16</xdr:row>
      <xdr:rowOff>21470</xdr:rowOff>
    </xdr:from>
    <xdr:to>
      <xdr:col>4</xdr:col>
      <xdr:colOff>549616</xdr:colOff>
      <xdr:row>24</xdr:row>
      <xdr:rowOff>58524</xdr:rowOff>
    </xdr:to>
    <mc:AlternateContent xmlns:mc="http://schemas.openxmlformats.org/markup-compatibility/2006" xmlns:a14="http://schemas.microsoft.com/office/drawing/2010/main">
      <mc:Choice Requires="a14">
        <xdr:graphicFrame macro="">
          <xdr:nvGraphicFramePr>
            <xdr:cNvPr id="64" name="Product 3">
              <a:extLst>
                <a:ext uri="{FF2B5EF4-FFF2-40B4-BE49-F238E27FC236}">
                  <a16:creationId xmlns:a16="http://schemas.microsoft.com/office/drawing/2014/main" id="{BD881A22-025E-4CB9-BBE8-066425D59A6A}"/>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465108" y="2989560"/>
              <a:ext cx="1510351" cy="1521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221948</xdr:colOff>
      <xdr:row>24</xdr:row>
      <xdr:rowOff>81945</xdr:rowOff>
    </xdr:from>
    <xdr:to>
      <xdr:col>4</xdr:col>
      <xdr:colOff>554473</xdr:colOff>
      <xdr:row>33</xdr:row>
      <xdr:rowOff>143013</xdr:rowOff>
    </xdr:to>
    <mc:AlternateContent xmlns:mc="http://schemas.openxmlformats.org/markup-compatibility/2006" xmlns:a14="http://schemas.microsoft.com/office/drawing/2010/main">
      <mc:Choice Requires="a14">
        <xdr:graphicFrame macro="">
          <xdr:nvGraphicFramePr>
            <xdr:cNvPr id="66" name="Category 3">
              <a:extLst>
                <a:ext uri="{FF2B5EF4-FFF2-40B4-BE49-F238E27FC236}">
                  <a16:creationId xmlns:a16="http://schemas.microsoft.com/office/drawing/2014/main" id="{915FC9C7-F4CA-48E8-8330-1250D9E51DA5}"/>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434869" y="4534080"/>
              <a:ext cx="1545447" cy="17306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0.351689930554" createdVersion="8" refreshedVersion="8" minRefreshableVersion="3" recordCount="800" xr:uid="{A0496F7B-AB86-48E8-94E5-6078BCFDD593}">
  <cacheSource type="worksheet">
    <worksheetSource name="table3"/>
  </cacheSource>
  <cacheFields count="17">
    <cacheField name="Date" numFmtId="14">
      <sharedItems containsSemiMixedTypes="0" containsNonDate="0" containsDate="1" containsString="0" minDate="2025-04-01T00:00:00" maxDate="2025-07-01T00:00:00" count="91">
        <d v="2025-05-12T00:00:00"/>
        <d v="2025-04-23T00:00:00"/>
        <d v="2025-04-18T00:00:00"/>
        <d v="2025-04-02T00:00:00"/>
        <d v="2025-06-27T00:00:00"/>
        <d v="2025-06-06T00:00:00"/>
        <d v="2025-06-29T00:00:00"/>
        <d v="2025-06-16T00:00:00"/>
        <d v="2025-06-19T00:00:00"/>
        <d v="2025-05-02T00:00:00"/>
        <d v="2025-06-24T00:00:00"/>
        <d v="2025-06-23T00:00:00"/>
        <d v="2025-05-21T00:00:00"/>
        <d v="2025-05-03T00:00:00"/>
        <d v="2025-04-10T00:00:00"/>
        <d v="2025-05-24T00:00:00"/>
        <d v="2025-04-16T00:00:00"/>
        <d v="2025-06-20T00:00:00"/>
        <d v="2025-06-04T00:00:00"/>
        <d v="2025-04-21T00:00:00"/>
        <d v="2025-05-01T00:00:00"/>
        <d v="2025-05-26T00:00:00"/>
        <d v="2025-06-22T00:00:00"/>
        <d v="2025-06-07T00:00:00"/>
        <d v="2025-05-16T00:00:00"/>
        <d v="2025-04-19T00:00:00"/>
        <d v="2025-06-05T00:00:00"/>
        <d v="2025-05-23T00:00:00"/>
        <d v="2025-06-14T00:00:00"/>
        <d v="2025-05-09T00:00:00"/>
        <d v="2025-06-01T00:00:00"/>
        <d v="2025-06-28T00:00:00"/>
        <d v="2025-05-05T00:00:00"/>
        <d v="2025-06-17T00:00:00"/>
        <d v="2025-06-10T00:00:00"/>
        <d v="2025-04-15T00:00:00"/>
        <d v="2025-06-21T00:00:00"/>
        <d v="2025-04-06T00:00:00"/>
        <d v="2025-05-19T00:00:00"/>
        <d v="2025-04-28T00:00:00"/>
        <d v="2025-04-30T00:00:00"/>
        <d v="2025-04-26T00:00:00"/>
        <d v="2025-05-20T00:00:00"/>
        <d v="2025-06-03T00:00:00"/>
        <d v="2025-05-30T00:00:00"/>
        <d v="2025-04-03T00:00:00"/>
        <d v="2025-06-26T00:00:00"/>
        <d v="2025-05-04T00:00:00"/>
        <d v="2025-05-31T00:00:00"/>
        <d v="2025-05-29T00:00:00"/>
        <d v="2025-06-12T00:00:00"/>
        <d v="2025-04-24T00:00:00"/>
        <d v="2025-04-08T00:00:00"/>
        <d v="2025-05-15T00:00:00"/>
        <d v="2025-05-07T00:00:00"/>
        <d v="2025-05-25T00:00:00"/>
        <d v="2025-04-01T00:00:00"/>
        <d v="2025-04-13T00:00:00"/>
        <d v="2025-04-07T00:00:00"/>
        <d v="2025-04-12T00:00:00"/>
        <d v="2025-04-22T00:00:00"/>
        <d v="2025-04-17T00:00:00"/>
        <d v="2025-05-14T00:00:00"/>
        <d v="2025-06-25T00:00:00"/>
        <d v="2025-05-17T00:00:00"/>
        <d v="2025-06-30T00:00:00"/>
        <d v="2025-04-09T00:00:00"/>
        <d v="2025-06-11T00:00:00"/>
        <d v="2025-05-08T00:00:00"/>
        <d v="2025-05-22T00:00:00"/>
        <d v="2025-06-09T00:00:00"/>
        <d v="2025-05-13T00:00:00"/>
        <d v="2025-05-28T00:00:00"/>
        <d v="2025-05-27T00:00:00"/>
        <d v="2025-04-05T00:00:00"/>
        <d v="2025-04-27T00:00:00"/>
        <d v="2025-04-14T00:00:00"/>
        <d v="2025-04-29T00:00:00"/>
        <d v="2025-05-10T00:00:00"/>
        <d v="2025-06-15T00:00:00"/>
        <d v="2025-04-11T00:00:00"/>
        <d v="2025-04-20T00:00:00"/>
        <d v="2025-06-08T00:00:00"/>
        <d v="2025-06-18T00:00:00"/>
        <d v="2025-05-18T00:00:00"/>
        <d v="2025-06-13T00:00:00"/>
        <d v="2025-04-25T00:00:00"/>
        <d v="2025-05-11T00:00:00"/>
        <d v="2025-05-06T00:00:00"/>
        <d v="2025-04-04T00:00:00"/>
        <d v="2025-06-02T00:00:00"/>
      </sharedItems>
      <fieldGroup par="16"/>
    </cacheField>
    <cacheField name="Daily trend" numFmtId="0">
      <sharedItems containsSemiMixedTypes="0" containsString="0" containsNumber="1" containsInteger="1" minValue="1" maxValue="31" count="31">
        <n v="12"/>
        <n v="23"/>
        <n v="18"/>
        <n v="2"/>
        <n v="27"/>
        <n v="6"/>
        <n v="29"/>
        <n v="16"/>
        <n v="19"/>
        <n v="24"/>
        <n v="21"/>
        <n v="3"/>
        <n v="10"/>
        <n v="20"/>
        <n v="4"/>
        <n v="1"/>
        <n v="26"/>
        <n v="22"/>
        <n v="7"/>
        <n v="5"/>
        <n v="14"/>
        <n v="9"/>
        <n v="28"/>
        <n v="17"/>
        <n v="15"/>
        <n v="30"/>
        <n v="31"/>
        <n v="8"/>
        <n v="25"/>
        <n v="13"/>
        <n v="11"/>
      </sharedItems>
    </cacheField>
    <cacheField name="Region" numFmtId="0">
      <sharedItems count="5">
        <s v="Lagos"/>
        <s v="Abuja"/>
        <s v="Port Harcourt"/>
        <s v="Ibadan"/>
        <s v="Kano"/>
      </sharedItems>
    </cacheField>
    <cacheField name="Salesperson" numFmtId="0">
      <sharedItems count="8">
        <s v="Bola"/>
        <s v="Ngozi"/>
        <s v="John"/>
        <s v="Ade"/>
        <s v="Tunde"/>
        <s v="Chioma"/>
        <s v="Fatima"/>
        <s v="Emeka"/>
      </sharedItems>
    </cacheField>
    <cacheField name="Product" numFmtId="0">
      <sharedItems count="10">
        <s v="Eggs"/>
        <s v="Soap"/>
        <s v="Plantain Chips"/>
        <s v="Bread"/>
        <s v="Beans"/>
        <s v="Rice"/>
        <s v="Milk"/>
        <s v="Soft Drink"/>
        <s v="Yam"/>
        <s v="Butter"/>
      </sharedItems>
    </cacheField>
    <cacheField name="Category" numFmtId="0">
      <sharedItems count="10">
        <s v="Roots"/>
        <s v="Protein"/>
        <s v="Legumes"/>
        <s v="Grains"/>
        <s v="Beverages"/>
        <s v="Dairy"/>
        <s v="Bakery"/>
        <s v="Household"/>
        <s v="Snacks"/>
        <s v="Spread"/>
      </sharedItems>
    </cacheField>
    <cacheField name="Quantity Sold" numFmtId="0">
      <sharedItems containsSemiMixedTypes="0" containsString="0" containsNumber="1" containsInteger="1" minValue="5" maxValue="50"/>
    </cacheField>
    <cacheField name="Unit Price (NGN)" numFmtId="0">
      <sharedItems containsSemiMixedTypes="0" containsString="0" containsNumber="1" containsInteger="1" minValue="300" maxValue="2992"/>
    </cacheField>
    <cacheField name="Customer Name" numFmtId="0">
      <sharedItems count="800">
        <s v="Customer_1"/>
        <s v="Customer_10"/>
        <s v="Customer_100"/>
        <s v="Customer_101"/>
        <s v="Customer_102"/>
        <s v="Customer_103"/>
        <s v="Customer_104"/>
        <s v="Customer_105"/>
        <s v="Customer_106"/>
        <s v="Customer_107"/>
        <s v="Customer_108"/>
        <s v="Customer_109"/>
        <s v="Customer_11"/>
        <s v="Customer_110"/>
        <s v="Customer_111"/>
        <s v="Customer_112"/>
        <s v="Customer_113"/>
        <s v="Customer_114"/>
        <s v="Customer_115"/>
        <s v="Customer_116"/>
        <s v="Customer_117"/>
        <s v="Customer_118"/>
        <s v="Customer_119"/>
        <s v="Customer_12"/>
        <s v="Customer_120"/>
        <s v="Customer_121"/>
        <s v="Customer_122"/>
        <s v="Customer_123"/>
        <s v="Customer_124"/>
        <s v="Customer_125"/>
        <s v="Customer_126"/>
        <s v="Customer_127"/>
        <s v="Customer_128"/>
        <s v="Customer_129"/>
        <s v="Customer_13"/>
        <s v="Customer_130"/>
        <s v="Customer_131"/>
        <s v="Customer_132"/>
        <s v="Customer_133"/>
        <s v="Customer_134"/>
        <s v="Customer_135"/>
        <s v="Customer_136"/>
        <s v="Customer_137"/>
        <s v="Customer_138"/>
        <s v="Customer_139"/>
        <s v="Customer_14"/>
        <s v="Customer_140"/>
        <s v="Customer_141"/>
        <s v="Customer_142"/>
        <s v="Customer_143"/>
        <s v="Customer_144"/>
        <s v="Customer_145"/>
        <s v="Customer_146"/>
        <s v="Customer_147"/>
        <s v="Customer_148"/>
        <s v="Customer_149"/>
        <s v="Customer_15"/>
        <s v="Customer_150"/>
        <s v="Customer_151"/>
        <s v="Customer_152"/>
        <s v="Customer_153"/>
        <s v="Customer_154"/>
        <s v="Customer_155"/>
        <s v="Customer_156"/>
        <s v="Customer_157"/>
        <s v="Customer_158"/>
        <s v="Customer_159"/>
        <s v="Customer_16"/>
        <s v="Customer_160"/>
        <s v="Customer_161"/>
        <s v="Customer_162"/>
        <s v="Customer_163"/>
        <s v="Customer_164"/>
        <s v="Customer_165"/>
        <s v="Customer_166"/>
        <s v="Customer_167"/>
        <s v="Customer_168"/>
        <s v="Customer_169"/>
        <s v="Customer_17"/>
        <s v="Customer_170"/>
        <s v="Customer_171"/>
        <s v="Customer_172"/>
        <s v="Customer_173"/>
        <s v="Customer_174"/>
        <s v="Customer_175"/>
        <s v="Customer_176"/>
        <s v="Customer_177"/>
        <s v="Customer_178"/>
        <s v="Customer_179"/>
        <s v="Customer_18"/>
        <s v="Customer_180"/>
        <s v="Customer_181"/>
        <s v="Customer_182"/>
        <s v="Customer_183"/>
        <s v="Customer_184"/>
        <s v="Customer_185"/>
        <s v="Customer_186"/>
        <s v="Customer_187"/>
        <s v="Customer_188"/>
        <s v="Customer_189"/>
        <s v="Customer_19"/>
        <s v="Customer_190"/>
        <s v="Customer_191"/>
        <s v="Customer_192"/>
        <s v="Customer_193"/>
        <s v="Customer_194"/>
        <s v="Customer_195"/>
        <s v="Customer_196"/>
        <s v="Customer_197"/>
        <s v="Customer_198"/>
        <s v="Customer_199"/>
        <s v="Customer_2"/>
        <s v="Customer_20"/>
        <s v="Customer_200"/>
        <s v="Customer_201"/>
        <s v="Customer_202"/>
        <s v="Customer_203"/>
        <s v="Customer_204"/>
        <s v="Customer_205"/>
        <s v="Customer_206"/>
        <s v="Customer_207"/>
        <s v="Customer_208"/>
        <s v="Customer_209"/>
        <s v="Customer_21"/>
        <s v="Customer_210"/>
        <s v="Customer_211"/>
        <s v="Customer_212"/>
        <s v="Customer_213"/>
        <s v="Customer_214"/>
        <s v="Customer_215"/>
        <s v="Customer_216"/>
        <s v="Customer_217"/>
        <s v="Customer_218"/>
        <s v="Customer_219"/>
        <s v="Customer_22"/>
        <s v="Customer_220"/>
        <s v="Customer_221"/>
        <s v="Customer_222"/>
        <s v="Customer_223"/>
        <s v="Customer_224"/>
        <s v="Customer_225"/>
        <s v="Customer_226"/>
        <s v="Customer_227"/>
        <s v="Customer_228"/>
        <s v="Customer_229"/>
        <s v="Customer_23"/>
        <s v="Customer_230"/>
        <s v="Customer_231"/>
        <s v="Customer_232"/>
        <s v="Customer_233"/>
        <s v="Customer_234"/>
        <s v="Customer_235"/>
        <s v="Customer_236"/>
        <s v="Customer_237"/>
        <s v="Customer_238"/>
        <s v="Customer_239"/>
        <s v="Customer_24"/>
        <s v="Customer_240"/>
        <s v="Customer_241"/>
        <s v="Customer_242"/>
        <s v="Customer_243"/>
        <s v="Customer_244"/>
        <s v="Customer_245"/>
        <s v="Customer_246"/>
        <s v="Customer_247"/>
        <s v="Customer_248"/>
        <s v="Customer_249"/>
        <s v="Customer_25"/>
        <s v="Customer_250"/>
        <s v="Customer_251"/>
        <s v="Customer_252"/>
        <s v="Customer_253"/>
        <s v="Customer_254"/>
        <s v="Customer_255"/>
        <s v="Customer_256"/>
        <s v="Customer_257"/>
        <s v="Customer_258"/>
        <s v="Customer_259"/>
        <s v="Customer_26"/>
        <s v="Customer_260"/>
        <s v="Customer_261"/>
        <s v="Customer_262"/>
        <s v="Customer_263"/>
        <s v="Customer_264"/>
        <s v="Customer_265"/>
        <s v="Customer_266"/>
        <s v="Customer_267"/>
        <s v="Customer_268"/>
        <s v="Customer_269"/>
        <s v="Customer_27"/>
        <s v="Customer_270"/>
        <s v="Customer_271"/>
        <s v="Customer_272"/>
        <s v="Customer_273"/>
        <s v="Customer_274"/>
        <s v="Customer_275"/>
        <s v="Customer_276"/>
        <s v="Customer_277"/>
        <s v="Customer_278"/>
        <s v="Customer_279"/>
        <s v="Customer_28"/>
        <s v="Customer_280"/>
        <s v="Customer_281"/>
        <s v="Customer_282"/>
        <s v="Customer_283"/>
        <s v="Customer_284"/>
        <s v="Customer_285"/>
        <s v="Customer_286"/>
        <s v="Customer_287"/>
        <s v="Customer_288"/>
        <s v="Customer_289"/>
        <s v="Customer_29"/>
        <s v="Customer_290"/>
        <s v="Customer_291"/>
        <s v="Customer_292"/>
        <s v="Customer_293"/>
        <s v="Customer_294"/>
        <s v="Customer_295"/>
        <s v="Customer_296"/>
        <s v="Customer_297"/>
        <s v="Customer_298"/>
        <s v="Customer_299"/>
        <s v="Customer_3"/>
        <s v="Customer_30"/>
        <s v="Customer_300"/>
        <s v="Customer_301"/>
        <s v="Customer_302"/>
        <s v="Customer_303"/>
        <s v="Customer_304"/>
        <s v="Customer_305"/>
        <s v="Customer_306"/>
        <s v="Customer_307"/>
        <s v="Customer_308"/>
        <s v="Customer_309"/>
        <s v="Customer_31"/>
        <s v="Customer_310"/>
        <s v="Customer_311"/>
        <s v="Customer_312"/>
        <s v="Customer_313"/>
        <s v="Customer_314"/>
        <s v="Customer_315"/>
        <s v="Customer_316"/>
        <s v="Customer_317"/>
        <s v="Customer_318"/>
        <s v="Customer_319"/>
        <s v="Customer_32"/>
        <s v="Customer_320"/>
        <s v="Customer_321"/>
        <s v="Customer_322"/>
        <s v="Customer_323"/>
        <s v="Customer_324"/>
        <s v="Customer_325"/>
        <s v="Customer_326"/>
        <s v="Customer_327"/>
        <s v="Customer_328"/>
        <s v="Customer_329"/>
        <s v="Customer_33"/>
        <s v="Customer_330"/>
        <s v="Customer_331"/>
        <s v="Customer_332"/>
        <s v="Customer_333"/>
        <s v="Customer_334"/>
        <s v="Customer_335"/>
        <s v="Customer_336"/>
        <s v="Customer_337"/>
        <s v="Customer_338"/>
        <s v="Customer_339"/>
        <s v="Customer_34"/>
        <s v="Customer_340"/>
        <s v="Customer_341"/>
        <s v="Customer_342"/>
        <s v="Customer_343"/>
        <s v="Customer_344"/>
        <s v="Customer_345"/>
        <s v="Customer_346"/>
        <s v="Customer_347"/>
        <s v="Customer_348"/>
        <s v="Customer_349"/>
        <s v="Customer_35"/>
        <s v="Customer_350"/>
        <s v="Customer_351"/>
        <s v="Customer_352"/>
        <s v="Customer_353"/>
        <s v="Customer_354"/>
        <s v="Customer_355"/>
        <s v="Customer_356"/>
        <s v="Customer_357"/>
        <s v="Customer_358"/>
        <s v="Customer_359"/>
        <s v="Customer_36"/>
        <s v="Customer_360"/>
        <s v="Customer_361"/>
        <s v="Customer_362"/>
        <s v="Customer_363"/>
        <s v="Customer_364"/>
        <s v="Customer_365"/>
        <s v="Customer_366"/>
        <s v="Customer_367"/>
        <s v="Customer_368"/>
        <s v="Customer_369"/>
        <s v="Customer_37"/>
        <s v="Customer_370"/>
        <s v="Customer_371"/>
        <s v="Customer_372"/>
        <s v="Customer_373"/>
        <s v="Customer_374"/>
        <s v="Customer_375"/>
        <s v="Customer_376"/>
        <s v="Customer_377"/>
        <s v="Customer_378"/>
        <s v="Customer_379"/>
        <s v="Customer_38"/>
        <s v="Customer_380"/>
        <s v="Customer_381"/>
        <s v="Customer_382"/>
        <s v="Customer_383"/>
        <s v="Customer_384"/>
        <s v="Customer_385"/>
        <s v="Customer_386"/>
        <s v="Customer_387"/>
        <s v="Customer_388"/>
        <s v="Customer_389"/>
        <s v="Customer_39"/>
        <s v="Customer_390"/>
        <s v="Customer_391"/>
        <s v="Customer_392"/>
        <s v="Customer_393"/>
        <s v="Customer_394"/>
        <s v="Customer_395"/>
        <s v="Customer_396"/>
        <s v="Customer_397"/>
        <s v="Customer_398"/>
        <s v="Customer_399"/>
        <s v="Customer_4"/>
        <s v="Customer_40"/>
        <s v="Customer_400"/>
        <s v="Customer_401"/>
        <s v="Customer_402"/>
        <s v="Customer_403"/>
        <s v="Customer_404"/>
        <s v="Customer_405"/>
        <s v="Customer_406"/>
        <s v="Customer_407"/>
        <s v="Customer_408"/>
        <s v="Customer_409"/>
        <s v="Customer_41"/>
        <s v="Customer_410"/>
        <s v="Customer_411"/>
        <s v="Customer_412"/>
        <s v="Customer_413"/>
        <s v="Customer_414"/>
        <s v="Customer_415"/>
        <s v="Customer_416"/>
        <s v="Customer_417"/>
        <s v="Customer_418"/>
        <s v="Customer_419"/>
        <s v="Customer_42"/>
        <s v="Customer_420"/>
        <s v="Customer_421"/>
        <s v="Customer_422"/>
        <s v="Customer_423"/>
        <s v="Customer_424"/>
        <s v="Customer_425"/>
        <s v="Customer_426"/>
        <s v="Customer_427"/>
        <s v="Customer_428"/>
        <s v="Customer_429"/>
        <s v="Customer_43"/>
        <s v="Customer_430"/>
        <s v="Customer_431"/>
        <s v="Customer_432"/>
        <s v="Customer_433"/>
        <s v="Customer_434"/>
        <s v="Customer_435"/>
        <s v="Customer_436"/>
        <s v="Customer_437"/>
        <s v="Customer_438"/>
        <s v="Customer_439"/>
        <s v="Customer_44"/>
        <s v="Customer_440"/>
        <s v="Customer_441"/>
        <s v="Customer_442"/>
        <s v="Customer_443"/>
        <s v="Customer_444"/>
        <s v="Customer_445"/>
        <s v="Customer_446"/>
        <s v="Customer_447"/>
        <s v="Customer_448"/>
        <s v="Customer_449"/>
        <s v="Customer_45"/>
        <s v="Customer_450"/>
        <s v="Customer_451"/>
        <s v="Customer_452"/>
        <s v="Customer_453"/>
        <s v="Customer_454"/>
        <s v="Customer_455"/>
        <s v="Customer_456"/>
        <s v="Customer_457"/>
        <s v="Customer_458"/>
        <s v="Customer_459"/>
        <s v="Customer_46"/>
        <s v="Customer_460"/>
        <s v="Customer_461"/>
        <s v="Customer_462"/>
        <s v="Customer_463"/>
        <s v="Customer_464"/>
        <s v="Customer_465"/>
        <s v="Customer_466"/>
        <s v="Customer_467"/>
        <s v="Customer_468"/>
        <s v="Customer_469"/>
        <s v="Customer_47"/>
        <s v="Customer_470"/>
        <s v="Customer_471"/>
        <s v="Customer_472"/>
        <s v="Customer_473"/>
        <s v="Customer_474"/>
        <s v="Customer_475"/>
        <s v="Customer_476"/>
        <s v="Customer_477"/>
        <s v="Customer_478"/>
        <s v="Customer_479"/>
        <s v="Customer_48"/>
        <s v="Customer_480"/>
        <s v="Customer_481"/>
        <s v="Customer_482"/>
        <s v="Customer_483"/>
        <s v="Customer_484"/>
        <s v="Customer_485"/>
        <s v="Customer_486"/>
        <s v="Customer_487"/>
        <s v="Customer_488"/>
        <s v="Customer_489"/>
        <s v="Customer_49"/>
        <s v="Customer_490"/>
        <s v="Customer_491"/>
        <s v="Customer_492"/>
        <s v="Customer_493"/>
        <s v="Customer_494"/>
        <s v="Customer_495"/>
        <s v="Customer_496"/>
        <s v="Customer_497"/>
        <s v="Customer_498"/>
        <s v="Customer_499"/>
        <s v="Customer_5"/>
        <s v="Customer_50"/>
        <s v="Customer_500"/>
        <s v="Customer_501"/>
        <s v="Customer_502"/>
        <s v="Customer_503"/>
        <s v="Customer_504"/>
        <s v="Customer_505"/>
        <s v="Customer_506"/>
        <s v="Customer_507"/>
        <s v="Customer_508"/>
        <s v="Customer_509"/>
        <s v="Customer_51"/>
        <s v="Customer_510"/>
        <s v="Customer_511"/>
        <s v="Customer_512"/>
        <s v="Customer_513"/>
        <s v="Customer_514"/>
        <s v="Customer_515"/>
        <s v="Customer_516"/>
        <s v="Customer_517"/>
        <s v="Customer_518"/>
        <s v="Customer_519"/>
        <s v="Customer_52"/>
        <s v="Customer_520"/>
        <s v="Customer_521"/>
        <s v="Customer_522"/>
        <s v="Customer_523"/>
        <s v="Customer_524"/>
        <s v="Customer_525"/>
        <s v="Customer_526"/>
        <s v="Customer_527"/>
        <s v="Customer_528"/>
        <s v="Customer_529"/>
        <s v="Customer_53"/>
        <s v="Customer_530"/>
        <s v="Customer_531"/>
        <s v="Customer_532"/>
        <s v="Customer_533"/>
        <s v="Customer_534"/>
        <s v="Customer_535"/>
        <s v="Customer_536"/>
        <s v="Customer_537"/>
        <s v="Customer_538"/>
        <s v="Customer_539"/>
        <s v="Customer_54"/>
        <s v="Customer_540"/>
        <s v="Customer_541"/>
        <s v="Customer_542"/>
        <s v="Customer_543"/>
        <s v="Customer_544"/>
        <s v="Customer_545"/>
        <s v="Customer_546"/>
        <s v="Customer_547"/>
        <s v="Customer_548"/>
        <s v="Customer_549"/>
        <s v="Customer_55"/>
        <s v="Customer_550"/>
        <s v="Customer_551"/>
        <s v="Customer_552"/>
        <s v="Customer_553"/>
        <s v="Customer_554"/>
        <s v="Customer_555"/>
        <s v="Customer_556"/>
        <s v="Customer_557"/>
        <s v="Customer_558"/>
        <s v="Customer_559"/>
        <s v="Customer_56"/>
        <s v="Customer_560"/>
        <s v="Customer_561"/>
        <s v="Customer_562"/>
        <s v="Customer_563"/>
        <s v="Customer_564"/>
        <s v="Customer_565"/>
        <s v="Customer_566"/>
        <s v="Customer_567"/>
        <s v="Customer_568"/>
        <s v="Customer_569"/>
        <s v="Customer_57"/>
        <s v="Customer_570"/>
        <s v="Customer_571"/>
        <s v="Customer_572"/>
        <s v="Customer_573"/>
        <s v="Customer_574"/>
        <s v="Customer_575"/>
        <s v="Customer_576"/>
        <s v="Customer_577"/>
        <s v="Customer_578"/>
        <s v="Customer_579"/>
        <s v="Customer_58"/>
        <s v="Customer_580"/>
        <s v="Customer_581"/>
        <s v="Customer_582"/>
        <s v="Customer_583"/>
        <s v="Customer_584"/>
        <s v="Customer_585"/>
        <s v="Customer_586"/>
        <s v="Customer_587"/>
        <s v="Customer_588"/>
        <s v="Customer_589"/>
        <s v="Customer_59"/>
        <s v="Customer_590"/>
        <s v="Customer_591"/>
        <s v="Customer_592"/>
        <s v="Customer_593"/>
        <s v="Customer_594"/>
        <s v="Customer_595"/>
        <s v="Customer_596"/>
        <s v="Customer_597"/>
        <s v="Customer_598"/>
        <s v="Customer_599"/>
        <s v="Customer_6"/>
        <s v="Customer_60"/>
        <s v="Customer_600"/>
        <s v="Customer_601"/>
        <s v="Customer_602"/>
        <s v="Customer_603"/>
        <s v="Customer_604"/>
        <s v="Customer_605"/>
        <s v="Customer_606"/>
        <s v="Customer_607"/>
        <s v="Customer_608"/>
        <s v="Customer_609"/>
        <s v="Customer_61"/>
        <s v="Customer_610"/>
        <s v="Customer_611"/>
        <s v="Customer_612"/>
        <s v="Customer_613"/>
        <s v="Customer_614"/>
        <s v="Customer_615"/>
        <s v="Customer_616"/>
        <s v="Customer_617"/>
        <s v="Customer_618"/>
        <s v="Customer_619"/>
        <s v="Customer_62"/>
        <s v="Customer_620"/>
        <s v="Customer_621"/>
        <s v="Customer_622"/>
        <s v="Customer_623"/>
        <s v="Customer_624"/>
        <s v="Customer_625"/>
        <s v="Customer_626"/>
        <s v="Customer_627"/>
        <s v="Customer_628"/>
        <s v="Customer_629"/>
        <s v="Customer_63"/>
        <s v="Customer_630"/>
        <s v="Customer_631"/>
        <s v="Customer_632"/>
        <s v="Customer_633"/>
        <s v="Customer_634"/>
        <s v="Customer_635"/>
        <s v="Customer_636"/>
        <s v="Customer_637"/>
        <s v="Customer_638"/>
        <s v="Customer_639"/>
        <s v="Customer_64"/>
        <s v="Customer_640"/>
        <s v="Customer_641"/>
        <s v="Customer_642"/>
        <s v="Customer_643"/>
        <s v="Customer_644"/>
        <s v="Customer_645"/>
        <s v="Customer_646"/>
        <s v="Customer_647"/>
        <s v="Customer_648"/>
        <s v="Customer_649"/>
        <s v="Customer_65"/>
        <s v="Customer_650"/>
        <s v="Customer_651"/>
        <s v="Customer_652"/>
        <s v="Customer_653"/>
        <s v="Customer_654"/>
        <s v="Customer_655"/>
        <s v="Customer_656"/>
        <s v="Customer_657"/>
        <s v="Customer_658"/>
        <s v="Customer_659"/>
        <s v="Customer_66"/>
        <s v="Customer_660"/>
        <s v="Customer_661"/>
        <s v="Customer_662"/>
        <s v="Customer_663"/>
        <s v="Customer_664"/>
        <s v="Customer_665"/>
        <s v="Customer_666"/>
        <s v="Customer_667"/>
        <s v="Customer_668"/>
        <s v="Customer_669"/>
        <s v="Customer_67"/>
        <s v="Customer_670"/>
        <s v="Customer_671"/>
        <s v="Customer_672"/>
        <s v="Customer_673"/>
        <s v="Customer_674"/>
        <s v="Customer_675"/>
        <s v="Customer_676"/>
        <s v="Customer_677"/>
        <s v="Customer_678"/>
        <s v="Customer_679"/>
        <s v="Customer_68"/>
        <s v="Customer_680"/>
        <s v="Customer_681"/>
        <s v="Customer_682"/>
        <s v="Customer_683"/>
        <s v="Customer_684"/>
        <s v="Customer_685"/>
        <s v="Customer_686"/>
        <s v="Customer_687"/>
        <s v="Customer_688"/>
        <s v="Customer_689"/>
        <s v="Customer_69"/>
        <s v="Customer_690"/>
        <s v="Customer_691"/>
        <s v="Customer_692"/>
        <s v="Customer_693"/>
        <s v="Customer_694"/>
        <s v="Customer_695"/>
        <s v="Customer_696"/>
        <s v="Customer_697"/>
        <s v="Customer_698"/>
        <s v="Customer_699"/>
        <s v="Customer_7"/>
        <s v="Customer_70"/>
        <s v="Customer_700"/>
        <s v="Customer_701"/>
        <s v="Customer_702"/>
        <s v="Customer_703"/>
        <s v="Customer_704"/>
        <s v="Customer_705"/>
        <s v="Customer_706"/>
        <s v="Customer_707"/>
        <s v="Customer_708"/>
        <s v="Customer_709"/>
        <s v="Customer_71"/>
        <s v="Customer_710"/>
        <s v="Customer_711"/>
        <s v="Customer_712"/>
        <s v="Customer_713"/>
        <s v="Customer_714"/>
        <s v="Customer_715"/>
        <s v="Customer_716"/>
        <s v="Customer_717"/>
        <s v="Customer_718"/>
        <s v="Customer_719"/>
        <s v="Customer_72"/>
        <s v="Customer_720"/>
        <s v="Customer_721"/>
        <s v="Customer_722"/>
        <s v="Customer_723"/>
        <s v="Customer_724"/>
        <s v="Customer_725"/>
        <s v="Customer_726"/>
        <s v="Customer_727"/>
        <s v="Customer_728"/>
        <s v="Customer_729"/>
        <s v="Customer_73"/>
        <s v="Customer_730"/>
        <s v="Customer_731"/>
        <s v="Customer_732"/>
        <s v="Customer_733"/>
        <s v="Customer_734"/>
        <s v="Customer_735"/>
        <s v="Customer_736"/>
        <s v="Customer_737"/>
        <s v="Customer_738"/>
        <s v="Customer_739"/>
        <s v="Customer_74"/>
        <s v="Customer_740"/>
        <s v="Customer_741"/>
        <s v="Customer_742"/>
        <s v="Customer_743"/>
        <s v="Customer_744"/>
        <s v="Customer_745"/>
        <s v="Customer_746"/>
        <s v="Customer_747"/>
        <s v="Customer_748"/>
        <s v="Customer_749"/>
        <s v="Customer_75"/>
        <s v="Customer_750"/>
        <s v="Customer_751"/>
        <s v="Customer_752"/>
        <s v="Customer_753"/>
        <s v="Customer_754"/>
        <s v="Customer_755"/>
        <s v="Customer_756"/>
        <s v="Customer_757"/>
        <s v="Customer_758"/>
        <s v="Customer_759"/>
        <s v="Customer_76"/>
        <s v="Customer_760"/>
        <s v="Customer_761"/>
        <s v="Customer_762"/>
        <s v="Customer_763"/>
        <s v="Customer_764"/>
        <s v="Customer_765"/>
        <s v="Customer_766"/>
        <s v="Customer_767"/>
        <s v="Customer_768"/>
        <s v="Customer_769"/>
        <s v="Customer_77"/>
        <s v="Customer_770"/>
        <s v="Customer_771"/>
        <s v="Customer_772"/>
        <s v="Customer_773"/>
        <s v="Customer_774"/>
        <s v="Customer_775"/>
        <s v="Customer_776"/>
        <s v="Customer_777"/>
        <s v="Customer_778"/>
        <s v="Customer_779"/>
        <s v="Customer_78"/>
        <s v="Customer_780"/>
        <s v="Customer_781"/>
        <s v="Customer_782"/>
        <s v="Customer_783"/>
        <s v="Customer_784"/>
        <s v="Customer_785"/>
        <s v="Customer_786"/>
        <s v="Customer_787"/>
        <s v="Customer_788"/>
        <s v="Customer_789"/>
        <s v="Customer_79"/>
        <s v="Customer_790"/>
        <s v="Customer_791"/>
        <s v="Customer_792"/>
        <s v="Customer_793"/>
        <s v="Customer_794"/>
        <s v="Customer_795"/>
        <s v="Customer_796"/>
        <s v="Customer_797"/>
        <s v="Customer_798"/>
        <s v="Customer_799"/>
        <s v="Customer_8"/>
        <s v="Customer_80"/>
        <s v="Customer_800"/>
        <s v="Customer_81"/>
        <s v="Customer_82"/>
        <s v="Customer_83"/>
        <s v="Customer_84"/>
        <s v="Customer_85"/>
        <s v="Customer_86"/>
        <s v="Customer_87"/>
        <s v="Customer_88"/>
        <s v="Customer_89"/>
        <s v="Customer_9"/>
        <s v="Customer_90"/>
        <s v="Customer_91"/>
        <s v="Customer_92"/>
        <s v="Customer_93"/>
        <s v="Customer_94"/>
        <s v="Customer_95"/>
        <s v="Customer_96"/>
        <s v="Customer_97"/>
        <s v="Customer_98"/>
        <s v="Customer_99"/>
      </sharedItems>
    </cacheField>
    <cacheField name="Gender" numFmtId="0">
      <sharedItems count="2">
        <s v="Male"/>
        <s v="Female"/>
      </sharedItems>
    </cacheField>
    <cacheField name="Cost Price (NGN)" numFmtId="0">
      <sharedItems containsSemiMixedTypes="0" containsString="0" containsNumber="1" containsInteger="1" minValue="200" maxValue="2600"/>
    </cacheField>
    <cacheField name="total sales" numFmtId="0">
      <sharedItems containsSemiMixedTypes="0" containsString="0" containsNumber="1" containsInteger="1" minValue="2471" maxValue="142704"/>
    </cacheField>
    <cacheField name="PROFIT" numFmtId="0">
      <sharedItems containsSemiMixedTypes="0" containsString="0" containsNumber="1" containsInteger="1" minValue="315" maxValue="67865"/>
    </cacheField>
    <cacheField name="PROFIT MARGIN" numFmtId="0">
      <sharedItems containsSemiMixedTypes="0" containsString="0" containsNumber="1" minValue="5.46218487394958" maxValue="52.015355086372359"/>
    </cacheField>
    <cacheField name="COST PRICE" numFmtId="0">
      <sharedItems containsSemiMixedTypes="0" containsString="0" containsNumber="1" containsInteger="1" minValue="1750" maxValue="117500"/>
    </cacheField>
    <cacheField name="Days (Date)" numFmtId="0" databaseField="0">
      <fieldGroup base="0">
        <rangePr groupBy="days" startDate="2025-04-01T00:00:00" endDate="2025-07-01T00:00:00"/>
        <groupItems count="368">
          <s v="&lt;01/04/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Months (Date)" numFmtId="0" databaseField="0">
      <fieldGroup base="0">
        <rangePr groupBy="months" startDate="2025-04-01T00:00:00" endDate="2025-07-01T00:00:00"/>
        <groupItems count="14">
          <s v="&lt;01/04/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1581524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x v="0"/>
    <x v="0"/>
    <x v="0"/>
    <n v="36"/>
    <n v="789"/>
    <x v="0"/>
    <x v="0"/>
    <n v="700"/>
    <n v="28404"/>
    <n v="3204"/>
    <n v="11.280101394169835"/>
    <n v="25200"/>
  </r>
  <r>
    <x v="1"/>
    <x v="1"/>
    <x v="0"/>
    <x v="1"/>
    <x v="1"/>
    <x v="1"/>
    <n v="23"/>
    <n v="774"/>
    <x v="1"/>
    <x v="1"/>
    <n v="700"/>
    <n v="17802"/>
    <n v="1702"/>
    <n v="9.5607235142118849"/>
    <n v="16100"/>
  </r>
  <r>
    <x v="2"/>
    <x v="2"/>
    <x v="1"/>
    <x v="2"/>
    <x v="2"/>
    <x v="2"/>
    <n v="48"/>
    <n v="2262"/>
    <x v="2"/>
    <x v="0"/>
    <n v="2000"/>
    <n v="108576"/>
    <n v="12576"/>
    <n v="11.582670203359859"/>
    <n v="96000"/>
  </r>
  <r>
    <x v="3"/>
    <x v="3"/>
    <x v="1"/>
    <x v="1"/>
    <x v="1"/>
    <x v="3"/>
    <n v="25"/>
    <n v="2064"/>
    <x v="3"/>
    <x v="0"/>
    <n v="1800"/>
    <n v="51600"/>
    <n v="6600"/>
    <n v="12.790697674418606"/>
    <n v="45000"/>
  </r>
  <r>
    <x v="4"/>
    <x v="4"/>
    <x v="2"/>
    <x v="0"/>
    <x v="3"/>
    <x v="4"/>
    <n v="5"/>
    <n v="2989"/>
    <x v="4"/>
    <x v="0"/>
    <n v="2400"/>
    <n v="14945"/>
    <n v="2945"/>
    <n v="19.705587152893944"/>
    <n v="12000"/>
  </r>
  <r>
    <x v="5"/>
    <x v="5"/>
    <x v="2"/>
    <x v="0"/>
    <x v="4"/>
    <x v="0"/>
    <n v="17"/>
    <n v="708"/>
    <x v="5"/>
    <x v="1"/>
    <n v="500"/>
    <n v="12036"/>
    <n v="3536"/>
    <n v="29.378531073446329"/>
    <n v="8500"/>
  </r>
  <r>
    <x v="6"/>
    <x v="6"/>
    <x v="1"/>
    <x v="3"/>
    <x v="3"/>
    <x v="1"/>
    <n v="25"/>
    <n v="1859"/>
    <x v="6"/>
    <x v="1"/>
    <n v="1250"/>
    <n v="46475"/>
    <n v="15225"/>
    <n v="32.759548144163531"/>
    <n v="31250"/>
  </r>
  <r>
    <x v="7"/>
    <x v="7"/>
    <x v="0"/>
    <x v="4"/>
    <x v="1"/>
    <x v="3"/>
    <n v="16"/>
    <n v="2927"/>
    <x v="7"/>
    <x v="1"/>
    <n v="2000"/>
    <n v="46832"/>
    <n v="14832"/>
    <n v="31.67065254526819"/>
    <n v="32000"/>
  </r>
  <r>
    <x v="8"/>
    <x v="8"/>
    <x v="3"/>
    <x v="2"/>
    <x v="5"/>
    <x v="5"/>
    <n v="29"/>
    <n v="911"/>
    <x v="8"/>
    <x v="0"/>
    <n v="750"/>
    <n v="26419"/>
    <n v="4669"/>
    <n v="17.672886937431397"/>
    <n v="21750"/>
  </r>
  <r>
    <x v="9"/>
    <x v="3"/>
    <x v="0"/>
    <x v="0"/>
    <x v="4"/>
    <x v="1"/>
    <n v="16"/>
    <n v="2068"/>
    <x v="9"/>
    <x v="1"/>
    <n v="1150"/>
    <n v="33088"/>
    <n v="14688"/>
    <n v="44.390715667311412"/>
    <n v="18400"/>
  </r>
  <r>
    <x v="10"/>
    <x v="9"/>
    <x v="0"/>
    <x v="1"/>
    <x v="0"/>
    <x v="6"/>
    <n v="16"/>
    <n v="403"/>
    <x v="10"/>
    <x v="0"/>
    <n v="300"/>
    <n v="6448"/>
    <n v="1648"/>
    <n v="25.558312655086851"/>
    <n v="4800"/>
  </r>
  <r>
    <x v="11"/>
    <x v="1"/>
    <x v="0"/>
    <x v="3"/>
    <x v="5"/>
    <x v="1"/>
    <n v="35"/>
    <n v="1100"/>
    <x v="11"/>
    <x v="0"/>
    <n v="750"/>
    <n v="38500"/>
    <n v="12250"/>
    <n v="31.818181818181817"/>
    <n v="26250"/>
  </r>
  <r>
    <x v="12"/>
    <x v="10"/>
    <x v="2"/>
    <x v="5"/>
    <x v="0"/>
    <x v="1"/>
    <n v="10"/>
    <n v="2989"/>
    <x v="12"/>
    <x v="1"/>
    <n v="2150"/>
    <n v="29890"/>
    <n v="8390"/>
    <n v="28.069588491134155"/>
    <n v="21500"/>
  </r>
  <r>
    <x v="3"/>
    <x v="3"/>
    <x v="2"/>
    <x v="2"/>
    <x v="0"/>
    <x v="7"/>
    <n v="5"/>
    <n v="2899"/>
    <x v="13"/>
    <x v="1"/>
    <n v="1900"/>
    <n v="14495"/>
    <n v="4995"/>
    <n v="34.46015867540531"/>
    <n v="9500"/>
  </r>
  <r>
    <x v="13"/>
    <x v="11"/>
    <x v="4"/>
    <x v="5"/>
    <x v="1"/>
    <x v="8"/>
    <n v="50"/>
    <n v="399"/>
    <x v="14"/>
    <x v="0"/>
    <n v="300"/>
    <n v="19950"/>
    <n v="4950"/>
    <n v="24.81203007518797"/>
    <n v="15000"/>
  </r>
  <r>
    <x v="14"/>
    <x v="12"/>
    <x v="3"/>
    <x v="3"/>
    <x v="6"/>
    <x v="0"/>
    <n v="47"/>
    <n v="2118"/>
    <x v="15"/>
    <x v="1"/>
    <n v="1500"/>
    <n v="99546"/>
    <n v="29046"/>
    <n v="29.178470254957507"/>
    <n v="70500"/>
  </r>
  <r>
    <x v="15"/>
    <x v="9"/>
    <x v="1"/>
    <x v="3"/>
    <x v="6"/>
    <x v="5"/>
    <n v="14"/>
    <n v="1826"/>
    <x v="16"/>
    <x v="1"/>
    <n v="950"/>
    <n v="25564"/>
    <n v="12264"/>
    <n v="47.973713033953999"/>
    <n v="13300"/>
  </r>
  <r>
    <x v="16"/>
    <x v="7"/>
    <x v="2"/>
    <x v="4"/>
    <x v="0"/>
    <x v="4"/>
    <n v="17"/>
    <n v="2332"/>
    <x v="17"/>
    <x v="0"/>
    <n v="1700"/>
    <n v="39644"/>
    <n v="10744"/>
    <n v="27.101200686106345"/>
    <n v="28900"/>
  </r>
  <r>
    <x v="1"/>
    <x v="1"/>
    <x v="0"/>
    <x v="6"/>
    <x v="7"/>
    <x v="1"/>
    <n v="28"/>
    <n v="2988"/>
    <x v="18"/>
    <x v="1"/>
    <n v="1750"/>
    <n v="83664"/>
    <n v="34664"/>
    <n v="41.43239625167336"/>
    <n v="49000"/>
  </r>
  <r>
    <x v="17"/>
    <x v="13"/>
    <x v="0"/>
    <x v="0"/>
    <x v="8"/>
    <x v="8"/>
    <n v="20"/>
    <n v="1597"/>
    <x v="19"/>
    <x v="0"/>
    <n v="1250"/>
    <n v="31940"/>
    <n v="6940"/>
    <n v="21.728240450845334"/>
    <n v="25000"/>
  </r>
  <r>
    <x v="18"/>
    <x v="14"/>
    <x v="2"/>
    <x v="2"/>
    <x v="4"/>
    <x v="6"/>
    <n v="7"/>
    <n v="758"/>
    <x v="20"/>
    <x v="1"/>
    <n v="450"/>
    <n v="5306"/>
    <n v="2156"/>
    <n v="40.633245382585756"/>
    <n v="3150"/>
  </r>
  <r>
    <x v="8"/>
    <x v="8"/>
    <x v="4"/>
    <x v="4"/>
    <x v="2"/>
    <x v="0"/>
    <n v="26"/>
    <n v="589"/>
    <x v="21"/>
    <x v="0"/>
    <n v="450"/>
    <n v="15314"/>
    <n v="3614"/>
    <n v="23.599320882852293"/>
    <n v="11700"/>
  </r>
  <r>
    <x v="19"/>
    <x v="10"/>
    <x v="3"/>
    <x v="0"/>
    <x v="1"/>
    <x v="8"/>
    <n v="36"/>
    <n v="1892"/>
    <x v="22"/>
    <x v="0"/>
    <n v="1400"/>
    <n v="68112"/>
    <n v="17712"/>
    <n v="26.004228329809724"/>
    <n v="50400"/>
  </r>
  <r>
    <x v="20"/>
    <x v="15"/>
    <x v="0"/>
    <x v="4"/>
    <x v="5"/>
    <x v="9"/>
    <n v="41"/>
    <n v="1434"/>
    <x v="23"/>
    <x v="1"/>
    <n v="1200"/>
    <n v="58794"/>
    <n v="9594"/>
    <n v="16.317991631799163"/>
    <n v="49200"/>
  </r>
  <r>
    <x v="20"/>
    <x v="15"/>
    <x v="3"/>
    <x v="4"/>
    <x v="8"/>
    <x v="6"/>
    <n v="16"/>
    <n v="2075"/>
    <x v="24"/>
    <x v="1"/>
    <n v="1800"/>
    <n v="33200"/>
    <n v="4400"/>
    <n v="13.253012048192772"/>
    <n v="28800"/>
  </r>
  <r>
    <x v="11"/>
    <x v="1"/>
    <x v="3"/>
    <x v="6"/>
    <x v="9"/>
    <x v="1"/>
    <n v="38"/>
    <n v="901"/>
    <x v="25"/>
    <x v="0"/>
    <n v="750"/>
    <n v="34238"/>
    <n v="5738"/>
    <n v="16.759156492785792"/>
    <n v="28500"/>
  </r>
  <r>
    <x v="21"/>
    <x v="16"/>
    <x v="3"/>
    <x v="0"/>
    <x v="8"/>
    <x v="4"/>
    <n v="18"/>
    <n v="1462"/>
    <x v="26"/>
    <x v="0"/>
    <n v="1300"/>
    <n v="26316"/>
    <n v="2916"/>
    <n v="11.080711354309166"/>
    <n v="23400"/>
  </r>
  <r>
    <x v="22"/>
    <x v="17"/>
    <x v="0"/>
    <x v="3"/>
    <x v="8"/>
    <x v="3"/>
    <n v="23"/>
    <n v="1343"/>
    <x v="27"/>
    <x v="0"/>
    <n v="1150"/>
    <n v="30889"/>
    <n v="4439"/>
    <n v="14.370811615785556"/>
    <n v="26450"/>
  </r>
  <r>
    <x v="23"/>
    <x v="18"/>
    <x v="1"/>
    <x v="2"/>
    <x v="9"/>
    <x v="7"/>
    <n v="37"/>
    <n v="752"/>
    <x v="28"/>
    <x v="1"/>
    <n v="450"/>
    <n v="27824"/>
    <n v="11174"/>
    <n v="40.159574468085104"/>
    <n v="16650"/>
  </r>
  <r>
    <x v="24"/>
    <x v="7"/>
    <x v="2"/>
    <x v="1"/>
    <x v="2"/>
    <x v="9"/>
    <n v="42"/>
    <n v="308"/>
    <x v="29"/>
    <x v="1"/>
    <n v="200"/>
    <n v="12936"/>
    <n v="4536"/>
    <n v="35.064935064935064"/>
    <n v="8400"/>
  </r>
  <r>
    <x v="25"/>
    <x v="8"/>
    <x v="0"/>
    <x v="5"/>
    <x v="2"/>
    <x v="3"/>
    <n v="49"/>
    <n v="2052"/>
    <x v="30"/>
    <x v="0"/>
    <n v="1400"/>
    <n v="100548"/>
    <n v="31948"/>
    <n v="31.773879142300192"/>
    <n v="68600"/>
  </r>
  <r>
    <x v="11"/>
    <x v="1"/>
    <x v="0"/>
    <x v="7"/>
    <x v="7"/>
    <x v="5"/>
    <n v="49"/>
    <n v="2386"/>
    <x v="31"/>
    <x v="0"/>
    <n v="1300"/>
    <n v="116914"/>
    <n v="53214"/>
    <n v="45.515507124895223"/>
    <n v="63700"/>
  </r>
  <r>
    <x v="26"/>
    <x v="19"/>
    <x v="0"/>
    <x v="3"/>
    <x v="4"/>
    <x v="6"/>
    <n v="36"/>
    <n v="407"/>
    <x v="32"/>
    <x v="0"/>
    <n v="250"/>
    <n v="14652"/>
    <n v="5652"/>
    <n v="38.574938574938578"/>
    <n v="9000"/>
  </r>
  <r>
    <x v="5"/>
    <x v="5"/>
    <x v="1"/>
    <x v="0"/>
    <x v="5"/>
    <x v="5"/>
    <n v="7"/>
    <n v="751"/>
    <x v="33"/>
    <x v="0"/>
    <n v="550"/>
    <n v="5257"/>
    <n v="1407"/>
    <n v="26.764314247669773"/>
    <n v="3850"/>
  </r>
  <r>
    <x v="27"/>
    <x v="1"/>
    <x v="0"/>
    <x v="5"/>
    <x v="5"/>
    <x v="6"/>
    <n v="17"/>
    <n v="642"/>
    <x v="34"/>
    <x v="1"/>
    <n v="450"/>
    <n v="10914"/>
    <n v="3264"/>
    <n v="29.906542056074763"/>
    <n v="7650"/>
  </r>
  <r>
    <x v="17"/>
    <x v="13"/>
    <x v="1"/>
    <x v="3"/>
    <x v="5"/>
    <x v="1"/>
    <n v="39"/>
    <n v="2571"/>
    <x v="35"/>
    <x v="1"/>
    <n v="1950"/>
    <n v="100269"/>
    <n v="24219"/>
    <n v="24.154025670945156"/>
    <n v="76050"/>
  </r>
  <r>
    <x v="1"/>
    <x v="1"/>
    <x v="4"/>
    <x v="6"/>
    <x v="5"/>
    <x v="1"/>
    <n v="17"/>
    <n v="1952"/>
    <x v="36"/>
    <x v="0"/>
    <n v="1350"/>
    <n v="33184"/>
    <n v="10234"/>
    <n v="30.840163934426229"/>
    <n v="22950"/>
  </r>
  <r>
    <x v="24"/>
    <x v="7"/>
    <x v="4"/>
    <x v="6"/>
    <x v="6"/>
    <x v="8"/>
    <n v="39"/>
    <n v="802"/>
    <x v="37"/>
    <x v="1"/>
    <n v="600"/>
    <n v="31278"/>
    <n v="7878"/>
    <n v="25.187032418952622"/>
    <n v="23400"/>
  </r>
  <r>
    <x v="2"/>
    <x v="2"/>
    <x v="3"/>
    <x v="6"/>
    <x v="4"/>
    <x v="9"/>
    <n v="27"/>
    <n v="2186"/>
    <x v="38"/>
    <x v="1"/>
    <n v="1850"/>
    <n v="59022"/>
    <n v="9072"/>
    <n v="15.370539798719122"/>
    <n v="49950"/>
  </r>
  <r>
    <x v="20"/>
    <x v="15"/>
    <x v="1"/>
    <x v="0"/>
    <x v="2"/>
    <x v="7"/>
    <n v="27"/>
    <n v="2129"/>
    <x v="39"/>
    <x v="0"/>
    <n v="1500"/>
    <n v="57483"/>
    <n v="16983"/>
    <n v="29.544387036167212"/>
    <n v="40500"/>
  </r>
  <r>
    <x v="21"/>
    <x v="16"/>
    <x v="4"/>
    <x v="3"/>
    <x v="2"/>
    <x v="5"/>
    <n v="44"/>
    <n v="2753"/>
    <x v="40"/>
    <x v="1"/>
    <n v="2450"/>
    <n v="121132"/>
    <n v="13332"/>
    <n v="11.006175081729024"/>
    <n v="107800"/>
  </r>
  <r>
    <x v="27"/>
    <x v="1"/>
    <x v="3"/>
    <x v="2"/>
    <x v="3"/>
    <x v="1"/>
    <n v="25"/>
    <n v="2133"/>
    <x v="41"/>
    <x v="1"/>
    <n v="1650"/>
    <n v="53325"/>
    <n v="12075"/>
    <n v="22.644163150492265"/>
    <n v="41250"/>
  </r>
  <r>
    <x v="15"/>
    <x v="9"/>
    <x v="4"/>
    <x v="3"/>
    <x v="5"/>
    <x v="0"/>
    <n v="30"/>
    <n v="942"/>
    <x v="42"/>
    <x v="1"/>
    <n v="500"/>
    <n v="28260"/>
    <n v="13260"/>
    <n v="46.92144373673036"/>
    <n v="15000"/>
  </r>
  <r>
    <x v="28"/>
    <x v="20"/>
    <x v="3"/>
    <x v="7"/>
    <x v="4"/>
    <x v="3"/>
    <n v="23"/>
    <n v="2744"/>
    <x v="43"/>
    <x v="0"/>
    <n v="1600"/>
    <n v="63112"/>
    <n v="26312"/>
    <n v="41.690962099125365"/>
    <n v="36800"/>
  </r>
  <r>
    <x v="29"/>
    <x v="21"/>
    <x v="1"/>
    <x v="2"/>
    <x v="6"/>
    <x v="6"/>
    <n v="47"/>
    <n v="376"/>
    <x v="44"/>
    <x v="0"/>
    <n v="300"/>
    <n v="17672"/>
    <n v="3572"/>
    <n v="20.212765957446805"/>
    <n v="14100"/>
  </r>
  <r>
    <x v="23"/>
    <x v="18"/>
    <x v="0"/>
    <x v="0"/>
    <x v="1"/>
    <x v="5"/>
    <n v="48"/>
    <n v="1536"/>
    <x v="45"/>
    <x v="1"/>
    <n v="950"/>
    <n v="73728"/>
    <n v="28128"/>
    <n v="38.151041666666671"/>
    <n v="45600"/>
  </r>
  <r>
    <x v="30"/>
    <x v="15"/>
    <x v="0"/>
    <x v="5"/>
    <x v="9"/>
    <x v="1"/>
    <n v="43"/>
    <n v="1512"/>
    <x v="46"/>
    <x v="1"/>
    <n v="1250"/>
    <n v="65016"/>
    <n v="11266"/>
    <n v="17.328042328042329"/>
    <n v="53750"/>
  </r>
  <r>
    <x v="31"/>
    <x v="22"/>
    <x v="3"/>
    <x v="2"/>
    <x v="5"/>
    <x v="0"/>
    <n v="12"/>
    <n v="769"/>
    <x v="47"/>
    <x v="0"/>
    <n v="550"/>
    <n v="9228"/>
    <n v="2628"/>
    <n v="28.478543563068921"/>
    <n v="6600"/>
  </r>
  <r>
    <x v="19"/>
    <x v="10"/>
    <x v="1"/>
    <x v="4"/>
    <x v="4"/>
    <x v="3"/>
    <n v="37"/>
    <n v="636"/>
    <x v="48"/>
    <x v="1"/>
    <n v="500"/>
    <n v="23532"/>
    <n v="5032"/>
    <n v="21.383647798742139"/>
    <n v="18500"/>
  </r>
  <r>
    <x v="32"/>
    <x v="19"/>
    <x v="0"/>
    <x v="1"/>
    <x v="3"/>
    <x v="0"/>
    <n v="50"/>
    <n v="984"/>
    <x v="49"/>
    <x v="1"/>
    <n v="550"/>
    <n v="49200"/>
    <n v="21700"/>
    <n v="44.105691056910565"/>
    <n v="27500"/>
  </r>
  <r>
    <x v="33"/>
    <x v="23"/>
    <x v="4"/>
    <x v="3"/>
    <x v="6"/>
    <x v="7"/>
    <n v="7"/>
    <n v="2454"/>
    <x v="50"/>
    <x v="0"/>
    <n v="1550"/>
    <n v="17178"/>
    <n v="6328"/>
    <n v="36.837815810920944"/>
    <n v="10850"/>
  </r>
  <r>
    <x v="34"/>
    <x v="12"/>
    <x v="3"/>
    <x v="5"/>
    <x v="6"/>
    <x v="1"/>
    <n v="35"/>
    <n v="1729"/>
    <x v="51"/>
    <x v="0"/>
    <n v="950"/>
    <n v="60515"/>
    <n v="27265"/>
    <n v="45.054945054945058"/>
    <n v="33250"/>
  </r>
  <r>
    <x v="6"/>
    <x v="6"/>
    <x v="1"/>
    <x v="6"/>
    <x v="8"/>
    <x v="7"/>
    <n v="11"/>
    <n v="1022"/>
    <x v="52"/>
    <x v="1"/>
    <n v="850"/>
    <n v="11242"/>
    <n v="1892"/>
    <n v="16.829745596868882"/>
    <n v="9350"/>
  </r>
  <r>
    <x v="35"/>
    <x v="24"/>
    <x v="0"/>
    <x v="4"/>
    <x v="8"/>
    <x v="6"/>
    <n v="41"/>
    <n v="2107"/>
    <x v="53"/>
    <x v="0"/>
    <n v="1600"/>
    <n v="86387"/>
    <n v="20787"/>
    <n v="24.062648315140009"/>
    <n v="65600"/>
  </r>
  <r>
    <x v="36"/>
    <x v="10"/>
    <x v="3"/>
    <x v="6"/>
    <x v="3"/>
    <x v="8"/>
    <n v="22"/>
    <n v="1958"/>
    <x v="54"/>
    <x v="0"/>
    <n v="1650"/>
    <n v="43076"/>
    <n v="6776"/>
    <n v="15.730337078651685"/>
    <n v="36300"/>
  </r>
  <r>
    <x v="15"/>
    <x v="9"/>
    <x v="1"/>
    <x v="3"/>
    <x v="1"/>
    <x v="1"/>
    <n v="31"/>
    <n v="521"/>
    <x v="55"/>
    <x v="1"/>
    <n v="250"/>
    <n v="16151"/>
    <n v="8401"/>
    <n v="52.015355086372359"/>
    <n v="7750"/>
  </r>
  <r>
    <x v="37"/>
    <x v="5"/>
    <x v="0"/>
    <x v="5"/>
    <x v="6"/>
    <x v="5"/>
    <n v="24"/>
    <n v="2562"/>
    <x v="56"/>
    <x v="1"/>
    <n v="1700"/>
    <n v="61488"/>
    <n v="20688"/>
    <n v="33.6455893832943"/>
    <n v="40800"/>
  </r>
  <r>
    <x v="38"/>
    <x v="8"/>
    <x v="3"/>
    <x v="4"/>
    <x v="6"/>
    <x v="8"/>
    <n v="34"/>
    <n v="340"/>
    <x v="57"/>
    <x v="0"/>
    <n v="200"/>
    <n v="11560"/>
    <n v="4760"/>
    <n v="41.17647058823529"/>
    <n v="6800"/>
  </r>
  <r>
    <x v="39"/>
    <x v="22"/>
    <x v="4"/>
    <x v="6"/>
    <x v="8"/>
    <x v="2"/>
    <n v="5"/>
    <n v="2784"/>
    <x v="58"/>
    <x v="1"/>
    <n v="1950"/>
    <n v="13920"/>
    <n v="4170"/>
    <n v="29.956896551724139"/>
    <n v="9750"/>
  </r>
  <r>
    <x v="40"/>
    <x v="25"/>
    <x v="3"/>
    <x v="5"/>
    <x v="8"/>
    <x v="6"/>
    <n v="23"/>
    <n v="464"/>
    <x v="59"/>
    <x v="1"/>
    <n v="400"/>
    <n v="10672"/>
    <n v="1472"/>
    <n v="13.793103448275861"/>
    <n v="9200"/>
  </r>
  <r>
    <x v="41"/>
    <x v="16"/>
    <x v="4"/>
    <x v="2"/>
    <x v="1"/>
    <x v="3"/>
    <n v="31"/>
    <n v="442"/>
    <x v="60"/>
    <x v="0"/>
    <n v="400"/>
    <n v="13702"/>
    <n v="1302"/>
    <n v="9.502262443438914"/>
    <n v="12400"/>
  </r>
  <r>
    <x v="42"/>
    <x v="13"/>
    <x v="0"/>
    <x v="4"/>
    <x v="8"/>
    <x v="0"/>
    <n v="32"/>
    <n v="2723"/>
    <x v="61"/>
    <x v="1"/>
    <n v="2100"/>
    <n v="87136"/>
    <n v="19936"/>
    <n v="22.879177377892031"/>
    <n v="67200"/>
  </r>
  <r>
    <x v="11"/>
    <x v="1"/>
    <x v="0"/>
    <x v="2"/>
    <x v="1"/>
    <x v="6"/>
    <n v="10"/>
    <n v="1292"/>
    <x v="62"/>
    <x v="1"/>
    <n v="850"/>
    <n v="12920"/>
    <n v="4420"/>
    <n v="34.210526315789473"/>
    <n v="8500"/>
  </r>
  <r>
    <x v="43"/>
    <x v="11"/>
    <x v="2"/>
    <x v="5"/>
    <x v="9"/>
    <x v="5"/>
    <n v="19"/>
    <n v="1752"/>
    <x v="63"/>
    <x v="1"/>
    <n v="1550"/>
    <n v="33288"/>
    <n v="3838"/>
    <n v="11.529680365296803"/>
    <n v="29450"/>
  </r>
  <r>
    <x v="14"/>
    <x v="12"/>
    <x v="3"/>
    <x v="0"/>
    <x v="7"/>
    <x v="0"/>
    <n v="44"/>
    <n v="2277"/>
    <x v="64"/>
    <x v="1"/>
    <n v="1300"/>
    <n v="100188"/>
    <n v="42988"/>
    <n v="42.907334211682034"/>
    <n v="57200"/>
  </r>
  <r>
    <x v="44"/>
    <x v="25"/>
    <x v="1"/>
    <x v="7"/>
    <x v="1"/>
    <x v="8"/>
    <n v="34"/>
    <n v="1084"/>
    <x v="65"/>
    <x v="0"/>
    <n v="750"/>
    <n v="36856"/>
    <n v="11356"/>
    <n v="30.811808118081181"/>
    <n v="25500"/>
  </r>
  <r>
    <x v="37"/>
    <x v="5"/>
    <x v="2"/>
    <x v="4"/>
    <x v="2"/>
    <x v="6"/>
    <n v="44"/>
    <n v="2455"/>
    <x v="66"/>
    <x v="0"/>
    <n v="1800"/>
    <n v="108020"/>
    <n v="28820"/>
    <n v="26.680244399185337"/>
    <n v="79200"/>
  </r>
  <r>
    <x v="9"/>
    <x v="3"/>
    <x v="4"/>
    <x v="1"/>
    <x v="0"/>
    <x v="7"/>
    <n v="27"/>
    <n v="1812"/>
    <x v="67"/>
    <x v="1"/>
    <n v="1350"/>
    <n v="48924"/>
    <n v="12474"/>
    <n v="25.496688741721858"/>
    <n v="36450"/>
  </r>
  <r>
    <x v="30"/>
    <x v="15"/>
    <x v="0"/>
    <x v="1"/>
    <x v="8"/>
    <x v="9"/>
    <n v="16"/>
    <n v="2776"/>
    <x v="68"/>
    <x v="1"/>
    <n v="2250"/>
    <n v="44416"/>
    <n v="8416"/>
    <n v="18.948126801152736"/>
    <n v="36000"/>
  </r>
  <r>
    <x v="4"/>
    <x v="4"/>
    <x v="4"/>
    <x v="4"/>
    <x v="2"/>
    <x v="4"/>
    <n v="20"/>
    <n v="1817"/>
    <x v="69"/>
    <x v="0"/>
    <n v="950"/>
    <n v="36340"/>
    <n v="17340"/>
    <n v="47.71601541001651"/>
    <n v="19000"/>
  </r>
  <r>
    <x v="45"/>
    <x v="11"/>
    <x v="0"/>
    <x v="6"/>
    <x v="4"/>
    <x v="9"/>
    <n v="16"/>
    <n v="2781"/>
    <x v="70"/>
    <x v="0"/>
    <n v="2400"/>
    <n v="44496"/>
    <n v="6096"/>
    <n v="13.700107874865155"/>
    <n v="38400"/>
  </r>
  <r>
    <x v="34"/>
    <x v="12"/>
    <x v="2"/>
    <x v="6"/>
    <x v="3"/>
    <x v="1"/>
    <n v="34"/>
    <n v="710"/>
    <x v="71"/>
    <x v="1"/>
    <n v="550"/>
    <n v="24140"/>
    <n v="5440"/>
    <n v="22.535211267605636"/>
    <n v="18700"/>
  </r>
  <r>
    <x v="8"/>
    <x v="8"/>
    <x v="3"/>
    <x v="3"/>
    <x v="4"/>
    <x v="2"/>
    <n v="50"/>
    <n v="365"/>
    <x v="72"/>
    <x v="0"/>
    <n v="250"/>
    <n v="18250"/>
    <n v="5750"/>
    <n v="31.506849315068493"/>
    <n v="12500"/>
  </r>
  <r>
    <x v="3"/>
    <x v="3"/>
    <x v="2"/>
    <x v="3"/>
    <x v="7"/>
    <x v="2"/>
    <n v="16"/>
    <n v="637"/>
    <x v="73"/>
    <x v="0"/>
    <n v="400"/>
    <n v="10192"/>
    <n v="3792"/>
    <n v="37.205651491365778"/>
    <n v="6400"/>
  </r>
  <r>
    <x v="46"/>
    <x v="16"/>
    <x v="4"/>
    <x v="0"/>
    <x v="1"/>
    <x v="8"/>
    <n v="11"/>
    <n v="1810"/>
    <x v="74"/>
    <x v="0"/>
    <n v="1250"/>
    <n v="19910"/>
    <n v="6160"/>
    <n v="30.939226519337016"/>
    <n v="13750"/>
  </r>
  <r>
    <x v="47"/>
    <x v="14"/>
    <x v="2"/>
    <x v="1"/>
    <x v="2"/>
    <x v="1"/>
    <n v="13"/>
    <n v="2205"/>
    <x v="75"/>
    <x v="1"/>
    <n v="1800"/>
    <n v="28665"/>
    <n v="5265"/>
    <n v="18.367346938775512"/>
    <n v="23400"/>
  </r>
  <r>
    <x v="48"/>
    <x v="26"/>
    <x v="2"/>
    <x v="4"/>
    <x v="6"/>
    <x v="8"/>
    <n v="30"/>
    <n v="1697"/>
    <x v="76"/>
    <x v="0"/>
    <n v="1100"/>
    <n v="50910"/>
    <n v="17910"/>
    <n v="35.179728933411901"/>
    <n v="33000"/>
  </r>
  <r>
    <x v="49"/>
    <x v="6"/>
    <x v="2"/>
    <x v="0"/>
    <x v="6"/>
    <x v="6"/>
    <n v="18"/>
    <n v="582"/>
    <x v="77"/>
    <x v="1"/>
    <n v="400"/>
    <n v="10476"/>
    <n v="3276"/>
    <n v="31.27147766323024"/>
    <n v="7200"/>
  </r>
  <r>
    <x v="48"/>
    <x v="26"/>
    <x v="2"/>
    <x v="4"/>
    <x v="4"/>
    <x v="5"/>
    <n v="18"/>
    <n v="1862"/>
    <x v="78"/>
    <x v="0"/>
    <n v="1400"/>
    <n v="33516"/>
    <n v="8316"/>
    <n v="24.81203007518797"/>
    <n v="25200"/>
  </r>
  <r>
    <x v="19"/>
    <x v="10"/>
    <x v="1"/>
    <x v="2"/>
    <x v="4"/>
    <x v="3"/>
    <n v="39"/>
    <n v="1939"/>
    <x v="79"/>
    <x v="0"/>
    <n v="1300"/>
    <n v="75621"/>
    <n v="24921"/>
    <n v="32.95513151108819"/>
    <n v="50700"/>
  </r>
  <r>
    <x v="50"/>
    <x v="0"/>
    <x v="1"/>
    <x v="2"/>
    <x v="6"/>
    <x v="2"/>
    <n v="43"/>
    <n v="1892"/>
    <x v="80"/>
    <x v="0"/>
    <n v="950"/>
    <n v="81356"/>
    <n v="40506"/>
    <n v="49.788583509513742"/>
    <n v="40850"/>
  </r>
  <r>
    <x v="9"/>
    <x v="3"/>
    <x v="0"/>
    <x v="1"/>
    <x v="1"/>
    <x v="1"/>
    <n v="36"/>
    <n v="832"/>
    <x v="81"/>
    <x v="0"/>
    <n v="500"/>
    <n v="29952"/>
    <n v="11952"/>
    <n v="39.903846153846153"/>
    <n v="18000"/>
  </r>
  <r>
    <x v="51"/>
    <x v="9"/>
    <x v="3"/>
    <x v="2"/>
    <x v="6"/>
    <x v="5"/>
    <n v="6"/>
    <n v="2665"/>
    <x v="82"/>
    <x v="1"/>
    <n v="2050"/>
    <n v="15990"/>
    <n v="3690"/>
    <n v="23.076923076923077"/>
    <n v="12300"/>
  </r>
  <r>
    <x v="19"/>
    <x v="10"/>
    <x v="0"/>
    <x v="1"/>
    <x v="3"/>
    <x v="2"/>
    <n v="29"/>
    <n v="1571"/>
    <x v="83"/>
    <x v="1"/>
    <n v="1050"/>
    <n v="45559"/>
    <n v="15109"/>
    <n v="33.163590070019097"/>
    <n v="30450"/>
  </r>
  <r>
    <x v="7"/>
    <x v="7"/>
    <x v="1"/>
    <x v="1"/>
    <x v="3"/>
    <x v="1"/>
    <n v="48"/>
    <n v="393"/>
    <x v="84"/>
    <x v="0"/>
    <n v="350"/>
    <n v="18864"/>
    <n v="2064"/>
    <n v="10.941475826972011"/>
    <n v="16800"/>
  </r>
  <r>
    <x v="52"/>
    <x v="27"/>
    <x v="2"/>
    <x v="6"/>
    <x v="4"/>
    <x v="8"/>
    <n v="37"/>
    <n v="328"/>
    <x v="85"/>
    <x v="0"/>
    <n v="200"/>
    <n v="12136"/>
    <n v="4736"/>
    <n v="39.024390243902438"/>
    <n v="7400"/>
  </r>
  <r>
    <x v="39"/>
    <x v="22"/>
    <x v="3"/>
    <x v="5"/>
    <x v="9"/>
    <x v="2"/>
    <n v="36"/>
    <n v="2631"/>
    <x v="86"/>
    <x v="1"/>
    <n v="1550"/>
    <n v="94716"/>
    <n v="38916"/>
    <n v="41.087039148612696"/>
    <n v="55800"/>
  </r>
  <r>
    <x v="53"/>
    <x v="24"/>
    <x v="1"/>
    <x v="1"/>
    <x v="9"/>
    <x v="3"/>
    <n v="24"/>
    <n v="1041"/>
    <x v="87"/>
    <x v="0"/>
    <n v="900"/>
    <n v="24984"/>
    <n v="3384"/>
    <n v="13.544668587896252"/>
    <n v="21600"/>
  </r>
  <r>
    <x v="54"/>
    <x v="18"/>
    <x v="2"/>
    <x v="7"/>
    <x v="5"/>
    <x v="6"/>
    <n v="31"/>
    <n v="1474"/>
    <x v="88"/>
    <x v="0"/>
    <n v="800"/>
    <n v="45694"/>
    <n v="20894"/>
    <n v="45.725915875169605"/>
    <n v="24800"/>
  </r>
  <r>
    <x v="11"/>
    <x v="1"/>
    <x v="2"/>
    <x v="5"/>
    <x v="4"/>
    <x v="3"/>
    <n v="6"/>
    <n v="1033"/>
    <x v="89"/>
    <x v="1"/>
    <n v="850"/>
    <n v="6198"/>
    <n v="1098"/>
    <n v="17.71539206195547"/>
    <n v="5100"/>
  </r>
  <r>
    <x v="55"/>
    <x v="28"/>
    <x v="4"/>
    <x v="2"/>
    <x v="9"/>
    <x v="4"/>
    <n v="30"/>
    <n v="1280"/>
    <x v="90"/>
    <x v="1"/>
    <n v="750"/>
    <n v="38400"/>
    <n v="15900"/>
    <n v="41.40625"/>
    <n v="22500"/>
  </r>
  <r>
    <x v="47"/>
    <x v="14"/>
    <x v="2"/>
    <x v="7"/>
    <x v="5"/>
    <x v="1"/>
    <n v="29"/>
    <n v="404"/>
    <x v="91"/>
    <x v="0"/>
    <n v="300"/>
    <n v="11716"/>
    <n v="3016"/>
    <n v="25.742574257425744"/>
    <n v="8700"/>
  </r>
  <r>
    <x v="20"/>
    <x v="15"/>
    <x v="4"/>
    <x v="3"/>
    <x v="9"/>
    <x v="7"/>
    <n v="21"/>
    <n v="300"/>
    <x v="92"/>
    <x v="1"/>
    <n v="200"/>
    <n v="6300"/>
    <n v="2100"/>
    <n v="33.333333333333329"/>
    <n v="4200"/>
  </r>
  <r>
    <x v="4"/>
    <x v="4"/>
    <x v="0"/>
    <x v="5"/>
    <x v="5"/>
    <x v="0"/>
    <n v="19"/>
    <n v="1430"/>
    <x v="93"/>
    <x v="1"/>
    <n v="1250"/>
    <n v="27170"/>
    <n v="3420"/>
    <n v="12.587412587412588"/>
    <n v="23750"/>
  </r>
  <r>
    <x v="56"/>
    <x v="15"/>
    <x v="2"/>
    <x v="3"/>
    <x v="6"/>
    <x v="8"/>
    <n v="42"/>
    <n v="2633"/>
    <x v="94"/>
    <x v="1"/>
    <n v="2050"/>
    <n v="110586"/>
    <n v="24486"/>
    <n v="22.142043296619825"/>
    <n v="86100"/>
  </r>
  <r>
    <x v="50"/>
    <x v="0"/>
    <x v="3"/>
    <x v="6"/>
    <x v="9"/>
    <x v="2"/>
    <n v="43"/>
    <n v="1138"/>
    <x v="95"/>
    <x v="0"/>
    <n v="950"/>
    <n v="48934"/>
    <n v="8084"/>
    <n v="16.520210896309315"/>
    <n v="40850"/>
  </r>
  <r>
    <x v="57"/>
    <x v="29"/>
    <x v="1"/>
    <x v="5"/>
    <x v="6"/>
    <x v="8"/>
    <n v="6"/>
    <n v="592"/>
    <x v="96"/>
    <x v="1"/>
    <n v="500"/>
    <n v="3552"/>
    <n v="552"/>
    <n v="15.54054054054054"/>
    <n v="3000"/>
  </r>
  <r>
    <x v="58"/>
    <x v="18"/>
    <x v="1"/>
    <x v="7"/>
    <x v="1"/>
    <x v="4"/>
    <n v="50"/>
    <n v="2520"/>
    <x v="97"/>
    <x v="1"/>
    <n v="1750"/>
    <n v="126000"/>
    <n v="38500"/>
    <n v="30.555555555555557"/>
    <n v="87500"/>
  </r>
  <r>
    <x v="5"/>
    <x v="5"/>
    <x v="2"/>
    <x v="0"/>
    <x v="7"/>
    <x v="7"/>
    <n v="26"/>
    <n v="537"/>
    <x v="98"/>
    <x v="0"/>
    <n v="350"/>
    <n v="13962"/>
    <n v="4862"/>
    <n v="34.823091247672252"/>
    <n v="9100"/>
  </r>
  <r>
    <x v="59"/>
    <x v="0"/>
    <x v="2"/>
    <x v="3"/>
    <x v="0"/>
    <x v="5"/>
    <n v="7"/>
    <n v="1313"/>
    <x v="99"/>
    <x v="1"/>
    <n v="800"/>
    <n v="9191"/>
    <n v="3591"/>
    <n v="39.070830159939071"/>
    <n v="5600"/>
  </r>
  <r>
    <x v="60"/>
    <x v="17"/>
    <x v="1"/>
    <x v="3"/>
    <x v="4"/>
    <x v="5"/>
    <n v="50"/>
    <n v="2044"/>
    <x v="100"/>
    <x v="0"/>
    <n v="1050"/>
    <n v="102200"/>
    <n v="49700"/>
    <n v="48.630136986301373"/>
    <n v="52500"/>
  </r>
  <r>
    <x v="61"/>
    <x v="23"/>
    <x v="1"/>
    <x v="7"/>
    <x v="7"/>
    <x v="5"/>
    <n v="19"/>
    <n v="929"/>
    <x v="101"/>
    <x v="0"/>
    <n v="750"/>
    <n v="17651"/>
    <n v="3401"/>
    <n v="19.268030139935412"/>
    <n v="14250"/>
  </r>
  <r>
    <x v="29"/>
    <x v="21"/>
    <x v="1"/>
    <x v="5"/>
    <x v="1"/>
    <x v="0"/>
    <n v="10"/>
    <n v="2678"/>
    <x v="102"/>
    <x v="0"/>
    <n v="2050"/>
    <n v="26780"/>
    <n v="6280"/>
    <n v="23.450336071695297"/>
    <n v="20500"/>
  </r>
  <r>
    <x v="62"/>
    <x v="20"/>
    <x v="4"/>
    <x v="3"/>
    <x v="8"/>
    <x v="5"/>
    <n v="14"/>
    <n v="1416"/>
    <x v="103"/>
    <x v="1"/>
    <n v="1150"/>
    <n v="19824"/>
    <n v="3724"/>
    <n v="18.785310734463277"/>
    <n v="16100"/>
  </r>
  <r>
    <x v="14"/>
    <x v="12"/>
    <x v="3"/>
    <x v="4"/>
    <x v="0"/>
    <x v="1"/>
    <n v="31"/>
    <n v="1607"/>
    <x v="104"/>
    <x v="0"/>
    <n v="1000"/>
    <n v="49817"/>
    <n v="18817"/>
    <n v="37.772246421904171"/>
    <n v="31000"/>
  </r>
  <r>
    <x v="0"/>
    <x v="0"/>
    <x v="1"/>
    <x v="7"/>
    <x v="6"/>
    <x v="0"/>
    <n v="39"/>
    <n v="2097"/>
    <x v="105"/>
    <x v="1"/>
    <n v="1150"/>
    <n v="81783"/>
    <n v="36933"/>
    <n v="45.159752026704822"/>
    <n v="44850"/>
  </r>
  <r>
    <x v="5"/>
    <x v="5"/>
    <x v="1"/>
    <x v="1"/>
    <x v="4"/>
    <x v="8"/>
    <n v="50"/>
    <n v="2039"/>
    <x v="106"/>
    <x v="1"/>
    <n v="1050"/>
    <n v="101950"/>
    <n v="49450"/>
    <n v="48.504168710152037"/>
    <n v="52500"/>
  </r>
  <r>
    <x v="23"/>
    <x v="18"/>
    <x v="3"/>
    <x v="3"/>
    <x v="9"/>
    <x v="5"/>
    <n v="48"/>
    <n v="2140"/>
    <x v="107"/>
    <x v="1"/>
    <n v="1300"/>
    <n v="102720"/>
    <n v="40320"/>
    <n v="39.252336448598129"/>
    <n v="62400"/>
  </r>
  <r>
    <x v="47"/>
    <x v="14"/>
    <x v="4"/>
    <x v="7"/>
    <x v="3"/>
    <x v="5"/>
    <n v="6"/>
    <n v="2185"/>
    <x v="108"/>
    <x v="0"/>
    <n v="1200"/>
    <n v="13110"/>
    <n v="5910"/>
    <n v="45.080091533180777"/>
    <n v="7200"/>
  </r>
  <r>
    <x v="63"/>
    <x v="28"/>
    <x v="0"/>
    <x v="4"/>
    <x v="8"/>
    <x v="2"/>
    <n v="18"/>
    <n v="2821"/>
    <x v="109"/>
    <x v="1"/>
    <n v="2150"/>
    <n v="50778"/>
    <n v="12078"/>
    <n v="23.785891527827012"/>
    <n v="38700"/>
  </r>
  <r>
    <x v="62"/>
    <x v="20"/>
    <x v="1"/>
    <x v="0"/>
    <x v="5"/>
    <x v="1"/>
    <n v="10"/>
    <n v="1405"/>
    <x v="110"/>
    <x v="0"/>
    <n v="1200"/>
    <n v="14050"/>
    <n v="2050"/>
    <n v="14.590747330960854"/>
    <n v="12000"/>
  </r>
  <r>
    <x v="64"/>
    <x v="23"/>
    <x v="0"/>
    <x v="6"/>
    <x v="5"/>
    <x v="8"/>
    <n v="46"/>
    <n v="2535"/>
    <x v="111"/>
    <x v="0"/>
    <n v="2100"/>
    <n v="116610"/>
    <n v="20010"/>
    <n v="17.159763313609467"/>
    <n v="96600"/>
  </r>
  <r>
    <x v="65"/>
    <x v="25"/>
    <x v="3"/>
    <x v="1"/>
    <x v="6"/>
    <x v="2"/>
    <n v="19"/>
    <n v="975"/>
    <x v="112"/>
    <x v="0"/>
    <n v="700"/>
    <n v="18525"/>
    <n v="5225"/>
    <n v="28.205128205128204"/>
    <n v="13300"/>
  </r>
  <r>
    <x v="19"/>
    <x v="10"/>
    <x v="1"/>
    <x v="5"/>
    <x v="7"/>
    <x v="4"/>
    <n v="26"/>
    <n v="1946"/>
    <x v="113"/>
    <x v="1"/>
    <n v="1350"/>
    <n v="50596"/>
    <n v="15496"/>
    <n v="30.62692702980473"/>
    <n v="35100"/>
  </r>
  <r>
    <x v="66"/>
    <x v="21"/>
    <x v="1"/>
    <x v="5"/>
    <x v="5"/>
    <x v="0"/>
    <n v="18"/>
    <n v="2105"/>
    <x v="114"/>
    <x v="1"/>
    <n v="1100"/>
    <n v="37890"/>
    <n v="18090"/>
    <n v="47.743467933491686"/>
    <n v="19800"/>
  </r>
  <r>
    <x v="8"/>
    <x v="8"/>
    <x v="1"/>
    <x v="0"/>
    <x v="6"/>
    <x v="1"/>
    <n v="32"/>
    <n v="418"/>
    <x v="115"/>
    <x v="0"/>
    <n v="300"/>
    <n v="13376"/>
    <n v="3776"/>
    <n v="28.229665071770331"/>
    <n v="9600"/>
  </r>
  <r>
    <x v="16"/>
    <x v="7"/>
    <x v="0"/>
    <x v="6"/>
    <x v="3"/>
    <x v="2"/>
    <n v="28"/>
    <n v="1565"/>
    <x v="116"/>
    <x v="0"/>
    <n v="1200"/>
    <n v="43820"/>
    <n v="10220"/>
    <n v="23.322683706070286"/>
    <n v="33600"/>
  </r>
  <r>
    <x v="33"/>
    <x v="23"/>
    <x v="4"/>
    <x v="1"/>
    <x v="9"/>
    <x v="8"/>
    <n v="38"/>
    <n v="2249"/>
    <x v="117"/>
    <x v="1"/>
    <n v="1750"/>
    <n v="85462"/>
    <n v="18962"/>
    <n v="22.187638950644732"/>
    <n v="66500"/>
  </r>
  <r>
    <x v="3"/>
    <x v="3"/>
    <x v="0"/>
    <x v="7"/>
    <x v="7"/>
    <x v="0"/>
    <n v="44"/>
    <n v="1748"/>
    <x v="118"/>
    <x v="1"/>
    <n v="1350"/>
    <n v="76912"/>
    <n v="17512"/>
    <n v="22.768878718535468"/>
    <n v="59400"/>
  </r>
  <r>
    <x v="67"/>
    <x v="30"/>
    <x v="0"/>
    <x v="6"/>
    <x v="7"/>
    <x v="7"/>
    <n v="34"/>
    <n v="1542"/>
    <x v="119"/>
    <x v="1"/>
    <n v="850"/>
    <n v="52428"/>
    <n v="23528"/>
    <n v="44.87678339818418"/>
    <n v="28900"/>
  </r>
  <r>
    <x v="16"/>
    <x v="7"/>
    <x v="4"/>
    <x v="3"/>
    <x v="0"/>
    <x v="5"/>
    <n v="27"/>
    <n v="1530"/>
    <x v="120"/>
    <x v="1"/>
    <n v="1100"/>
    <n v="41310"/>
    <n v="11610"/>
    <n v="28.104575163398692"/>
    <n v="29700"/>
  </r>
  <r>
    <x v="39"/>
    <x v="22"/>
    <x v="4"/>
    <x v="2"/>
    <x v="0"/>
    <x v="0"/>
    <n v="20"/>
    <n v="2754"/>
    <x v="121"/>
    <x v="1"/>
    <n v="1950"/>
    <n v="55080"/>
    <n v="16080"/>
    <n v="29.193899782135073"/>
    <n v="39000"/>
  </r>
  <r>
    <x v="43"/>
    <x v="11"/>
    <x v="3"/>
    <x v="0"/>
    <x v="2"/>
    <x v="5"/>
    <n v="40"/>
    <n v="582"/>
    <x v="122"/>
    <x v="1"/>
    <n v="350"/>
    <n v="23280"/>
    <n v="9280"/>
    <n v="39.862542955326461"/>
    <n v="14000"/>
  </r>
  <r>
    <x v="27"/>
    <x v="1"/>
    <x v="2"/>
    <x v="2"/>
    <x v="2"/>
    <x v="3"/>
    <n v="40"/>
    <n v="1848"/>
    <x v="123"/>
    <x v="1"/>
    <n v="1550"/>
    <n v="73920"/>
    <n v="11920"/>
    <n v="16.125541125541126"/>
    <n v="62000"/>
  </r>
  <r>
    <x v="20"/>
    <x v="15"/>
    <x v="2"/>
    <x v="3"/>
    <x v="4"/>
    <x v="0"/>
    <n v="37"/>
    <n v="2842"/>
    <x v="124"/>
    <x v="0"/>
    <n v="2550"/>
    <n v="105154"/>
    <n v="10804"/>
    <n v="10.274454609429979"/>
    <n v="94350"/>
  </r>
  <r>
    <x v="60"/>
    <x v="17"/>
    <x v="3"/>
    <x v="7"/>
    <x v="5"/>
    <x v="7"/>
    <n v="19"/>
    <n v="1873"/>
    <x v="125"/>
    <x v="1"/>
    <n v="1450"/>
    <n v="35587"/>
    <n v="8037"/>
    <n v="22.584089695675388"/>
    <n v="27550"/>
  </r>
  <r>
    <x v="11"/>
    <x v="1"/>
    <x v="3"/>
    <x v="3"/>
    <x v="3"/>
    <x v="7"/>
    <n v="10"/>
    <n v="759"/>
    <x v="126"/>
    <x v="0"/>
    <n v="550"/>
    <n v="7590"/>
    <n v="2090"/>
    <n v="27.536231884057973"/>
    <n v="5500"/>
  </r>
  <r>
    <x v="68"/>
    <x v="27"/>
    <x v="2"/>
    <x v="4"/>
    <x v="1"/>
    <x v="3"/>
    <n v="26"/>
    <n v="1098"/>
    <x v="127"/>
    <x v="0"/>
    <n v="650"/>
    <n v="28548"/>
    <n v="11648"/>
    <n v="40.801457194899818"/>
    <n v="16900"/>
  </r>
  <r>
    <x v="15"/>
    <x v="9"/>
    <x v="4"/>
    <x v="2"/>
    <x v="2"/>
    <x v="2"/>
    <n v="31"/>
    <n v="661"/>
    <x v="128"/>
    <x v="0"/>
    <n v="600"/>
    <n v="20491"/>
    <n v="1891"/>
    <n v="9.2284417549167923"/>
    <n v="18600"/>
  </r>
  <r>
    <x v="32"/>
    <x v="19"/>
    <x v="0"/>
    <x v="7"/>
    <x v="1"/>
    <x v="3"/>
    <n v="39"/>
    <n v="2949"/>
    <x v="129"/>
    <x v="1"/>
    <n v="1950"/>
    <n v="115011"/>
    <n v="38961"/>
    <n v="33.875890132248223"/>
    <n v="76050"/>
  </r>
  <r>
    <x v="30"/>
    <x v="15"/>
    <x v="0"/>
    <x v="2"/>
    <x v="0"/>
    <x v="5"/>
    <n v="8"/>
    <n v="2657"/>
    <x v="130"/>
    <x v="1"/>
    <n v="1350"/>
    <n v="21256"/>
    <n v="10456"/>
    <n v="49.190816710575838"/>
    <n v="10800"/>
  </r>
  <r>
    <x v="25"/>
    <x v="8"/>
    <x v="3"/>
    <x v="0"/>
    <x v="2"/>
    <x v="2"/>
    <n v="30"/>
    <n v="495"/>
    <x v="131"/>
    <x v="1"/>
    <n v="350"/>
    <n v="14850"/>
    <n v="4350"/>
    <n v="29.292929292929294"/>
    <n v="10500"/>
  </r>
  <r>
    <x v="19"/>
    <x v="10"/>
    <x v="0"/>
    <x v="6"/>
    <x v="5"/>
    <x v="7"/>
    <n v="27"/>
    <n v="1977"/>
    <x v="132"/>
    <x v="0"/>
    <n v="1050"/>
    <n v="53379"/>
    <n v="25029"/>
    <n v="46.889226100151745"/>
    <n v="28350"/>
  </r>
  <r>
    <x v="59"/>
    <x v="0"/>
    <x v="3"/>
    <x v="3"/>
    <x v="3"/>
    <x v="1"/>
    <n v="33"/>
    <n v="707"/>
    <x v="133"/>
    <x v="0"/>
    <n v="350"/>
    <n v="23331"/>
    <n v="11781"/>
    <n v="50.495049504950494"/>
    <n v="11550"/>
  </r>
  <r>
    <x v="31"/>
    <x v="22"/>
    <x v="0"/>
    <x v="2"/>
    <x v="2"/>
    <x v="0"/>
    <n v="41"/>
    <n v="1809"/>
    <x v="134"/>
    <x v="0"/>
    <n v="1100"/>
    <n v="74169"/>
    <n v="29069"/>
    <n v="39.192924267551135"/>
    <n v="45100"/>
  </r>
  <r>
    <x v="50"/>
    <x v="0"/>
    <x v="2"/>
    <x v="1"/>
    <x v="7"/>
    <x v="7"/>
    <n v="16"/>
    <n v="1392"/>
    <x v="135"/>
    <x v="0"/>
    <n v="1150"/>
    <n v="22272"/>
    <n v="3872"/>
    <n v="17.385057471264368"/>
    <n v="18400"/>
  </r>
  <r>
    <x v="69"/>
    <x v="17"/>
    <x v="3"/>
    <x v="3"/>
    <x v="7"/>
    <x v="8"/>
    <n v="37"/>
    <n v="2907"/>
    <x v="136"/>
    <x v="1"/>
    <n v="2150"/>
    <n v="107559"/>
    <n v="28009"/>
    <n v="26.040591675266601"/>
    <n v="79550"/>
  </r>
  <r>
    <x v="67"/>
    <x v="30"/>
    <x v="2"/>
    <x v="1"/>
    <x v="9"/>
    <x v="2"/>
    <n v="49"/>
    <n v="1199"/>
    <x v="137"/>
    <x v="1"/>
    <n v="950"/>
    <n v="58751"/>
    <n v="12201"/>
    <n v="20.767306088407008"/>
    <n v="46550"/>
  </r>
  <r>
    <x v="44"/>
    <x v="25"/>
    <x v="1"/>
    <x v="5"/>
    <x v="1"/>
    <x v="9"/>
    <n v="29"/>
    <n v="690"/>
    <x v="138"/>
    <x v="0"/>
    <n v="400"/>
    <n v="20010"/>
    <n v="8410"/>
    <n v="42.028985507246375"/>
    <n v="11600"/>
  </r>
  <r>
    <x v="40"/>
    <x v="25"/>
    <x v="4"/>
    <x v="6"/>
    <x v="5"/>
    <x v="3"/>
    <n v="31"/>
    <n v="1371"/>
    <x v="139"/>
    <x v="1"/>
    <n v="1100"/>
    <n v="42501"/>
    <n v="8401"/>
    <n v="19.76659372720642"/>
    <n v="34100"/>
  </r>
  <r>
    <x v="38"/>
    <x v="8"/>
    <x v="2"/>
    <x v="7"/>
    <x v="3"/>
    <x v="7"/>
    <n v="25"/>
    <n v="1368"/>
    <x v="140"/>
    <x v="1"/>
    <n v="900"/>
    <n v="34200"/>
    <n v="11700"/>
    <n v="34.210526315789473"/>
    <n v="22500"/>
  </r>
  <r>
    <x v="40"/>
    <x v="25"/>
    <x v="2"/>
    <x v="6"/>
    <x v="7"/>
    <x v="9"/>
    <n v="43"/>
    <n v="1390"/>
    <x v="141"/>
    <x v="1"/>
    <n v="850"/>
    <n v="59770"/>
    <n v="23220"/>
    <n v="38.848920863309353"/>
    <n v="36550"/>
  </r>
  <r>
    <x v="33"/>
    <x v="23"/>
    <x v="3"/>
    <x v="6"/>
    <x v="4"/>
    <x v="2"/>
    <n v="16"/>
    <n v="844"/>
    <x v="142"/>
    <x v="0"/>
    <n v="450"/>
    <n v="13504"/>
    <n v="6304"/>
    <n v="46.682464454976305"/>
    <n v="7200"/>
  </r>
  <r>
    <x v="32"/>
    <x v="19"/>
    <x v="1"/>
    <x v="1"/>
    <x v="8"/>
    <x v="9"/>
    <n v="46"/>
    <n v="2301"/>
    <x v="143"/>
    <x v="1"/>
    <n v="2000"/>
    <n v="105846"/>
    <n v="13846"/>
    <n v="13.081269013472404"/>
    <n v="92000"/>
  </r>
  <r>
    <x v="67"/>
    <x v="30"/>
    <x v="1"/>
    <x v="6"/>
    <x v="0"/>
    <x v="6"/>
    <n v="23"/>
    <n v="1925"/>
    <x v="144"/>
    <x v="0"/>
    <n v="1300"/>
    <n v="44275"/>
    <n v="14375"/>
    <n v="32.467532467532465"/>
    <n v="29900"/>
  </r>
  <r>
    <x v="70"/>
    <x v="21"/>
    <x v="3"/>
    <x v="0"/>
    <x v="5"/>
    <x v="4"/>
    <n v="46"/>
    <n v="1066"/>
    <x v="145"/>
    <x v="0"/>
    <n v="750"/>
    <n v="49036"/>
    <n v="14536"/>
    <n v="29.643527204502814"/>
    <n v="34500"/>
  </r>
  <r>
    <x v="16"/>
    <x v="7"/>
    <x v="2"/>
    <x v="2"/>
    <x v="1"/>
    <x v="1"/>
    <n v="42"/>
    <n v="1914"/>
    <x v="146"/>
    <x v="1"/>
    <n v="1250"/>
    <n v="80388"/>
    <n v="27888"/>
    <n v="34.691745036572627"/>
    <n v="52500"/>
  </r>
  <r>
    <x v="53"/>
    <x v="24"/>
    <x v="4"/>
    <x v="5"/>
    <x v="1"/>
    <x v="0"/>
    <n v="11"/>
    <n v="2028"/>
    <x v="147"/>
    <x v="0"/>
    <n v="1350"/>
    <n v="22308"/>
    <n v="7458"/>
    <n v="33.431952662721891"/>
    <n v="14850"/>
  </r>
  <r>
    <x v="40"/>
    <x v="25"/>
    <x v="3"/>
    <x v="0"/>
    <x v="5"/>
    <x v="4"/>
    <n v="48"/>
    <n v="869"/>
    <x v="148"/>
    <x v="0"/>
    <n v="600"/>
    <n v="41712"/>
    <n v="12912"/>
    <n v="30.955120828538551"/>
    <n v="28800"/>
  </r>
  <r>
    <x v="43"/>
    <x v="11"/>
    <x v="2"/>
    <x v="6"/>
    <x v="5"/>
    <x v="3"/>
    <n v="36"/>
    <n v="907"/>
    <x v="149"/>
    <x v="1"/>
    <n v="650"/>
    <n v="32652"/>
    <n v="9252"/>
    <n v="28.335170893054023"/>
    <n v="23400"/>
  </r>
  <r>
    <x v="29"/>
    <x v="21"/>
    <x v="4"/>
    <x v="3"/>
    <x v="8"/>
    <x v="1"/>
    <n v="47"/>
    <n v="1427"/>
    <x v="150"/>
    <x v="0"/>
    <n v="1150"/>
    <n v="67069"/>
    <n v="13019"/>
    <n v="19.411352487736512"/>
    <n v="54050"/>
  </r>
  <r>
    <x v="34"/>
    <x v="12"/>
    <x v="3"/>
    <x v="0"/>
    <x v="0"/>
    <x v="5"/>
    <n v="44"/>
    <n v="2071"/>
    <x v="151"/>
    <x v="0"/>
    <n v="1100"/>
    <n v="91124"/>
    <n v="42724"/>
    <n v="46.88556253017866"/>
    <n v="48400"/>
  </r>
  <r>
    <x v="8"/>
    <x v="8"/>
    <x v="1"/>
    <x v="3"/>
    <x v="8"/>
    <x v="9"/>
    <n v="22"/>
    <n v="1948"/>
    <x v="152"/>
    <x v="1"/>
    <n v="1150"/>
    <n v="42856"/>
    <n v="17556"/>
    <n v="40.965092402464066"/>
    <n v="25300"/>
  </r>
  <r>
    <x v="71"/>
    <x v="29"/>
    <x v="3"/>
    <x v="5"/>
    <x v="7"/>
    <x v="9"/>
    <n v="49"/>
    <n v="1367"/>
    <x v="153"/>
    <x v="0"/>
    <n v="850"/>
    <n v="66983"/>
    <n v="25333"/>
    <n v="37.820043891733725"/>
    <n v="41650"/>
  </r>
  <r>
    <x v="15"/>
    <x v="9"/>
    <x v="1"/>
    <x v="7"/>
    <x v="2"/>
    <x v="4"/>
    <n v="17"/>
    <n v="1585"/>
    <x v="154"/>
    <x v="0"/>
    <n v="1150"/>
    <n v="26945"/>
    <n v="7395"/>
    <n v="27.444794952681388"/>
    <n v="19550"/>
  </r>
  <r>
    <x v="72"/>
    <x v="22"/>
    <x v="2"/>
    <x v="0"/>
    <x v="1"/>
    <x v="6"/>
    <n v="26"/>
    <n v="814"/>
    <x v="155"/>
    <x v="0"/>
    <n v="400"/>
    <n v="21164"/>
    <n v="10764"/>
    <n v="50.859950859950864"/>
    <n v="10400"/>
  </r>
  <r>
    <x v="15"/>
    <x v="9"/>
    <x v="0"/>
    <x v="1"/>
    <x v="8"/>
    <x v="5"/>
    <n v="29"/>
    <n v="635"/>
    <x v="156"/>
    <x v="0"/>
    <n v="400"/>
    <n v="18415"/>
    <n v="6815"/>
    <n v="37.00787401574803"/>
    <n v="11600"/>
  </r>
  <r>
    <x v="13"/>
    <x v="11"/>
    <x v="1"/>
    <x v="3"/>
    <x v="9"/>
    <x v="3"/>
    <n v="31"/>
    <n v="2039"/>
    <x v="157"/>
    <x v="0"/>
    <n v="1600"/>
    <n v="63209"/>
    <n v="13609"/>
    <n v="21.530161844041196"/>
    <n v="49600"/>
  </r>
  <r>
    <x v="14"/>
    <x v="12"/>
    <x v="1"/>
    <x v="0"/>
    <x v="1"/>
    <x v="7"/>
    <n v="43"/>
    <n v="1661"/>
    <x v="158"/>
    <x v="1"/>
    <n v="1050"/>
    <n v="71423"/>
    <n v="26273"/>
    <n v="36.785069235400364"/>
    <n v="45150"/>
  </r>
  <r>
    <x v="2"/>
    <x v="2"/>
    <x v="3"/>
    <x v="0"/>
    <x v="7"/>
    <x v="8"/>
    <n v="33"/>
    <n v="1950"/>
    <x v="159"/>
    <x v="1"/>
    <n v="1550"/>
    <n v="64350"/>
    <n v="13200"/>
    <n v="20.512820512820511"/>
    <n v="51150"/>
  </r>
  <r>
    <x v="25"/>
    <x v="8"/>
    <x v="0"/>
    <x v="3"/>
    <x v="4"/>
    <x v="5"/>
    <n v="15"/>
    <n v="690"/>
    <x v="160"/>
    <x v="0"/>
    <n v="450"/>
    <n v="10350"/>
    <n v="3600"/>
    <n v="34.782608695652172"/>
    <n v="6750"/>
  </r>
  <r>
    <x v="44"/>
    <x v="25"/>
    <x v="4"/>
    <x v="5"/>
    <x v="8"/>
    <x v="3"/>
    <n v="33"/>
    <n v="2378"/>
    <x v="161"/>
    <x v="1"/>
    <n v="1500"/>
    <n v="78474"/>
    <n v="28974"/>
    <n v="36.921783010933559"/>
    <n v="49500"/>
  </r>
  <r>
    <x v="62"/>
    <x v="20"/>
    <x v="2"/>
    <x v="6"/>
    <x v="1"/>
    <x v="0"/>
    <n v="9"/>
    <n v="2715"/>
    <x v="162"/>
    <x v="1"/>
    <n v="2350"/>
    <n v="24435"/>
    <n v="3285"/>
    <n v="13.443830570902392"/>
    <n v="21150"/>
  </r>
  <r>
    <x v="73"/>
    <x v="4"/>
    <x v="0"/>
    <x v="2"/>
    <x v="0"/>
    <x v="1"/>
    <n v="22"/>
    <n v="2608"/>
    <x v="163"/>
    <x v="0"/>
    <n v="1600"/>
    <n v="57376"/>
    <n v="22176"/>
    <n v="38.650306748466257"/>
    <n v="35200"/>
  </r>
  <r>
    <x v="11"/>
    <x v="1"/>
    <x v="0"/>
    <x v="6"/>
    <x v="6"/>
    <x v="1"/>
    <n v="11"/>
    <n v="649"/>
    <x v="164"/>
    <x v="1"/>
    <n v="450"/>
    <n v="7139"/>
    <n v="2189"/>
    <n v="30.662557781201848"/>
    <n v="4950"/>
  </r>
  <r>
    <x v="74"/>
    <x v="19"/>
    <x v="3"/>
    <x v="5"/>
    <x v="5"/>
    <x v="4"/>
    <n v="48"/>
    <n v="1191"/>
    <x v="165"/>
    <x v="0"/>
    <n v="750"/>
    <n v="57168"/>
    <n v="21168"/>
    <n v="37.02770780856423"/>
    <n v="36000"/>
  </r>
  <r>
    <x v="37"/>
    <x v="5"/>
    <x v="1"/>
    <x v="1"/>
    <x v="9"/>
    <x v="2"/>
    <n v="47"/>
    <n v="1090"/>
    <x v="166"/>
    <x v="1"/>
    <n v="900"/>
    <n v="51230"/>
    <n v="8930"/>
    <n v="17.431192660550458"/>
    <n v="42300"/>
  </r>
  <r>
    <x v="70"/>
    <x v="21"/>
    <x v="3"/>
    <x v="7"/>
    <x v="3"/>
    <x v="8"/>
    <n v="32"/>
    <n v="1223"/>
    <x v="167"/>
    <x v="1"/>
    <n v="1100"/>
    <n v="39136"/>
    <n v="3936"/>
    <n v="10.057236304170074"/>
    <n v="35200"/>
  </r>
  <r>
    <x v="35"/>
    <x v="24"/>
    <x v="0"/>
    <x v="5"/>
    <x v="1"/>
    <x v="5"/>
    <n v="47"/>
    <n v="2827"/>
    <x v="168"/>
    <x v="1"/>
    <n v="2500"/>
    <n v="132869"/>
    <n v="15369"/>
    <n v="11.567032189600283"/>
    <n v="117500"/>
  </r>
  <r>
    <x v="23"/>
    <x v="18"/>
    <x v="3"/>
    <x v="1"/>
    <x v="5"/>
    <x v="2"/>
    <n v="23"/>
    <n v="1755"/>
    <x v="169"/>
    <x v="1"/>
    <n v="1150"/>
    <n v="40365"/>
    <n v="13915"/>
    <n v="34.472934472934476"/>
    <n v="26450"/>
  </r>
  <r>
    <x v="1"/>
    <x v="1"/>
    <x v="1"/>
    <x v="1"/>
    <x v="9"/>
    <x v="8"/>
    <n v="15"/>
    <n v="562"/>
    <x v="170"/>
    <x v="0"/>
    <n v="450"/>
    <n v="8430"/>
    <n v="1680"/>
    <n v="19.9288256227758"/>
    <n v="6750"/>
  </r>
  <r>
    <x v="40"/>
    <x v="25"/>
    <x v="0"/>
    <x v="4"/>
    <x v="3"/>
    <x v="7"/>
    <n v="20"/>
    <n v="1459"/>
    <x v="171"/>
    <x v="1"/>
    <n v="900"/>
    <n v="29180"/>
    <n v="11180"/>
    <n v="38.313913639479097"/>
    <n v="18000"/>
  </r>
  <r>
    <x v="57"/>
    <x v="29"/>
    <x v="3"/>
    <x v="7"/>
    <x v="5"/>
    <x v="4"/>
    <n v="6"/>
    <n v="1458"/>
    <x v="172"/>
    <x v="1"/>
    <n v="1100"/>
    <n v="8748"/>
    <n v="2148"/>
    <n v="24.554183813443071"/>
    <n v="6600"/>
  </r>
  <r>
    <x v="15"/>
    <x v="9"/>
    <x v="2"/>
    <x v="5"/>
    <x v="3"/>
    <x v="6"/>
    <n v="11"/>
    <n v="1761"/>
    <x v="173"/>
    <x v="1"/>
    <n v="950"/>
    <n v="19371"/>
    <n v="8921"/>
    <n v="46.053378762067013"/>
    <n v="10450"/>
  </r>
  <r>
    <x v="11"/>
    <x v="1"/>
    <x v="4"/>
    <x v="0"/>
    <x v="5"/>
    <x v="7"/>
    <n v="24"/>
    <n v="1332"/>
    <x v="174"/>
    <x v="0"/>
    <n v="900"/>
    <n v="31968"/>
    <n v="10368"/>
    <n v="32.432432432432435"/>
    <n v="21600"/>
  </r>
  <r>
    <x v="35"/>
    <x v="24"/>
    <x v="2"/>
    <x v="4"/>
    <x v="5"/>
    <x v="2"/>
    <n v="27"/>
    <n v="2616"/>
    <x v="175"/>
    <x v="0"/>
    <n v="1600"/>
    <n v="70632"/>
    <n v="27432"/>
    <n v="38.837920489296636"/>
    <n v="43200"/>
  </r>
  <r>
    <x v="47"/>
    <x v="14"/>
    <x v="4"/>
    <x v="3"/>
    <x v="1"/>
    <x v="3"/>
    <n v="6"/>
    <n v="2910"/>
    <x v="176"/>
    <x v="0"/>
    <n v="2150"/>
    <n v="17460"/>
    <n v="4560"/>
    <n v="26.116838487972512"/>
    <n v="12900"/>
  </r>
  <r>
    <x v="71"/>
    <x v="29"/>
    <x v="3"/>
    <x v="5"/>
    <x v="5"/>
    <x v="2"/>
    <n v="40"/>
    <n v="2558"/>
    <x v="177"/>
    <x v="1"/>
    <n v="2200"/>
    <n v="102320"/>
    <n v="14320"/>
    <n v="13.995308835027364"/>
    <n v="88000"/>
  </r>
  <r>
    <x v="48"/>
    <x v="26"/>
    <x v="2"/>
    <x v="6"/>
    <x v="6"/>
    <x v="1"/>
    <n v="47"/>
    <n v="1305"/>
    <x v="178"/>
    <x v="1"/>
    <n v="800"/>
    <n v="61335"/>
    <n v="23735"/>
    <n v="38.697318007662837"/>
    <n v="37600"/>
  </r>
  <r>
    <x v="57"/>
    <x v="29"/>
    <x v="4"/>
    <x v="1"/>
    <x v="4"/>
    <x v="9"/>
    <n v="11"/>
    <n v="2600"/>
    <x v="179"/>
    <x v="0"/>
    <n v="2200"/>
    <n v="28600"/>
    <n v="4400"/>
    <n v="15.384615384615385"/>
    <n v="24200"/>
  </r>
  <r>
    <x v="40"/>
    <x v="25"/>
    <x v="2"/>
    <x v="2"/>
    <x v="7"/>
    <x v="3"/>
    <n v="6"/>
    <n v="2503"/>
    <x v="180"/>
    <x v="1"/>
    <n v="1500"/>
    <n v="15018"/>
    <n v="6018"/>
    <n v="40.071913703555737"/>
    <n v="9000"/>
  </r>
  <r>
    <x v="24"/>
    <x v="7"/>
    <x v="3"/>
    <x v="2"/>
    <x v="1"/>
    <x v="1"/>
    <n v="32"/>
    <n v="2511"/>
    <x v="181"/>
    <x v="1"/>
    <n v="2250"/>
    <n v="80352"/>
    <n v="8352"/>
    <n v="10.394265232974909"/>
    <n v="72000"/>
  </r>
  <r>
    <x v="64"/>
    <x v="23"/>
    <x v="1"/>
    <x v="0"/>
    <x v="6"/>
    <x v="1"/>
    <n v="24"/>
    <n v="310"/>
    <x v="182"/>
    <x v="1"/>
    <n v="250"/>
    <n v="7440"/>
    <n v="1440"/>
    <n v="19.35483870967742"/>
    <n v="6000"/>
  </r>
  <r>
    <x v="39"/>
    <x v="22"/>
    <x v="0"/>
    <x v="3"/>
    <x v="2"/>
    <x v="0"/>
    <n v="39"/>
    <n v="2764"/>
    <x v="183"/>
    <x v="0"/>
    <n v="1750"/>
    <n v="107796"/>
    <n v="39546"/>
    <n v="36.685962373371922"/>
    <n v="68250"/>
  </r>
  <r>
    <x v="64"/>
    <x v="23"/>
    <x v="3"/>
    <x v="2"/>
    <x v="5"/>
    <x v="1"/>
    <n v="29"/>
    <n v="2484"/>
    <x v="184"/>
    <x v="0"/>
    <n v="1900"/>
    <n v="72036"/>
    <n v="16936"/>
    <n v="23.510466988727856"/>
    <n v="55100"/>
  </r>
  <r>
    <x v="35"/>
    <x v="24"/>
    <x v="1"/>
    <x v="7"/>
    <x v="3"/>
    <x v="3"/>
    <n v="30"/>
    <n v="558"/>
    <x v="185"/>
    <x v="0"/>
    <n v="350"/>
    <n v="16740"/>
    <n v="6240"/>
    <n v="37.275985663082437"/>
    <n v="10500"/>
  </r>
  <r>
    <x v="50"/>
    <x v="0"/>
    <x v="3"/>
    <x v="7"/>
    <x v="6"/>
    <x v="7"/>
    <n v="34"/>
    <n v="1902"/>
    <x v="186"/>
    <x v="1"/>
    <n v="1650"/>
    <n v="64668"/>
    <n v="8568"/>
    <n v="13.249211356466878"/>
    <n v="56100"/>
  </r>
  <r>
    <x v="23"/>
    <x v="18"/>
    <x v="0"/>
    <x v="6"/>
    <x v="3"/>
    <x v="7"/>
    <n v="30"/>
    <n v="2099"/>
    <x v="187"/>
    <x v="1"/>
    <n v="1100"/>
    <n v="62970"/>
    <n v="29970"/>
    <n v="47.594092424964266"/>
    <n v="33000"/>
  </r>
  <r>
    <x v="52"/>
    <x v="27"/>
    <x v="3"/>
    <x v="2"/>
    <x v="3"/>
    <x v="9"/>
    <n v="17"/>
    <n v="2161"/>
    <x v="188"/>
    <x v="0"/>
    <n v="1850"/>
    <n v="36737"/>
    <n v="5287"/>
    <n v="14.391485423415084"/>
    <n v="31450"/>
  </r>
  <r>
    <x v="75"/>
    <x v="4"/>
    <x v="4"/>
    <x v="6"/>
    <x v="3"/>
    <x v="7"/>
    <n v="10"/>
    <n v="1221"/>
    <x v="189"/>
    <x v="0"/>
    <n v="750"/>
    <n v="12210"/>
    <n v="4710"/>
    <n v="38.574938574938578"/>
    <n v="7500"/>
  </r>
  <r>
    <x v="44"/>
    <x v="25"/>
    <x v="3"/>
    <x v="0"/>
    <x v="9"/>
    <x v="1"/>
    <n v="40"/>
    <n v="1379"/>
    <x v="190"/>
    <x v="1"/>
    <n v="850"/>
    <n v="55160"/>
    <n v="21160"/>
    <n v="38.361131254532275"/>
    <n v="34000"/>
  </r>
  <r>
    <x v="62"/>
    <x v="20"/>
    <x v="3"/>
    <x v="3"/>
    <x v="8"/>
    <x v="7"/>
    <n v="6"/>
    <n v="2450"/>
    <x v="191"/>
    <x v="1"/>
    <n v="1250"/>
    <n v="14700"/>
    <n v="7200"/>
    <n v="48.979591836734691"/>
    <n v="7500"/>
  </r>
  <r>
    <x v="53"/>
    <x v="24"/>
    <x v="4"/>
    <x v="4"/>
    <x v="9"/>
    <x v="4"/>
    <n v="40"/>
    <n v="317"/>
    <x v="192"/>
    <x v="0"/>
    <n v="250"/>
    <n v="12680"/>
    <n v="2680"/>
    <n v="21.135646687697161"/>
    <n v="10000"/>
  </r>
  <r>
    <x v="51"/>
    <x v="9"/>
    <x v="1"/>
    <x v="0"/>
    <x v="9"/>
    <x v="0"/>
    <n v="8"/>
    <n v="632"/>
    <x v="193"/>
    <x v="1"/>
    <n v="400"/>
    <n v="5056"/>
    <n v="1856"/>
    <n v="36.708860759493675"/>
    <n v="3200"/>
  </r>
  <r>
    <x v="62"/>
    <x v="20"/>
    <x v="0"/>
    <x v="0"/>
    <x v="4"/>
    <x v="8"/>
    <n v="22"/>
    <n v="1045"/>
    <x v="194"/>
    <x v="0"/>
    <n v="750"/>
    <n v="22990"/>
    <n v="6490"/>
    <n v="28.229665071770331"/>
    <n v="16500"/>
  </r>
  <r>
    <x v="32"/>
    <x v="19"/>
    <x v="0"/>
    <x v="5"/>
    <x v="8"/>
    <x v="4"/>
    <n v="18"/>
    <n v="1037"/>
    <x v="195"/>
    <x v="1"/>
    <n v="800"/>
    <n v="18666"/>
    <n v="4266"/>
    <n v="22.854387656702023"/>
    <n v="14400"/>
  </r>
  <r>
    <x v="31"/>
    <x v="22"/>
    <x v="0"/>
    <x v="7"/>
    <x v="2"/>
    <x v="0"/>
    <n v="15"/>
    <n v="1673"/>
    <x v="196"/>
    <x v="1"/>
    <n v="1050"/>
    <n v="25095"/>
    <n v="9345"/>
    <n v="37.238493723849366"/>
    <n v="15750"/>
  </r>
  <r>
    <x v="75"/>
    <x v="4"/>
    <x v="3"/>
    <x v="1"/>
    <x v="1"/>
    <x v="8"/>
    <n v="37"/>
    <n v="1929"/>
    <x v="197"/>
    <x v="0"/>
    <n v="1550"/>
    <n v="71373"/>
    <n v="14023"/>
    <n v="19.64748574390876"/>
    <n v="57350"/>
  </r>
  <r>
    <x v="67"/>
    <x v="30"/>
    <x v="1"/>
    <x v="6"/>
    <x v="9"/>
    <x v="1"/>
    <n v="23"/>
    <n v="349"/>
    <x v="198"/>
    <x v="0"/>
    <n v="200"/>
    <n v="8027"/>
    <n v="3427"/>
    <n v="42.693409742120345"/>
    <n v="4600"/>
  </r>
  <r>
    <x v="39"/>
    <x v="22"/>
    <x v="0"/>
    <x v="3"/>
    <x v="2"/>
    <x v="2"/>
    <n v="7"/>
    <n v="1359"/>
    <x v="199"/>
    <x v="0"/>
    <n v="1200"/>
    <n v="9513"/>
    <n v="1113"/>
    <n v="11.699779249448124"/>
    <n v="8400"/>
  </r>
  <r>
    <x v="76"/>
    <x v="20"/>
    <x v="3"/>
    <x v="1"/>
    <x v="0"/>
    <x v="9"/>
    <n v="13"/>
    <n v="2212"/>
    <x v="200"/>
    <x v="1"/>
    <n v="1750"/>
    <n v="28756"/>
    <n v="6006"/>
    <n v="20.88607594936709"/>
    <n v="22750"/>
  </r>
  <r>
    <x v="21"/>
    <x v="16"/>
    <x v="0"/>
    <x v="6"/>
    <x v="9"/>
    <x v="0"/>
    <n v="44"/>
    <n v="673"/>
    <x v="201"/>
    <x v="0"/>
    <n v="500"/>
    <n v="29612"/>
    <n v="7612"/>
    <n v="25.705794947994054"/>
    <n v="22000"/>
  </r>
  <r>
    <x v="77"/>
    <x v="6"/>
    <x v="4"/>
    <x v="5"/>
    <x v="7"/>
    <x v="2"/>
    <n v="25"/>
    <n v="2942"/>
    <x v="202"/>
    <x v="1"/>
    <n v="2200"/>
    <n v="73550"/>
    <n v="18550"/>
    <n v="25.220938137321554"/>
    <n v="55000"/>
  </r>
  <r>
    <x v="27"/>
    <x v="1"/>
    <x v="3"/>
    <x v="2"/>
    <x v="0"/>
    <x v="1"/>
    <n v="24"/>
    <n v="764"/>
    <x v="203"/>
    <x v="0"/>
    <n v="600"/>
    <n v="18336"/>
    <n v="3936"/>
    <n v="21.465968586387437"/>
    <n v="14400"/>
  </r>
  <r>
    <x v="70"/>
    <x v="21"/>
    <x v="2"/>
    <x v="0"/>
    <x v="7"/>
    <x v="1"/>
    <n v="41"/>
    <n v="2559"/>
    <x v="204"/>
    <x v="1"/>
    <n v="1400"/>
    <n v="104919"/>
    <n v="47519"/>
    <n v="45.291129347401323"/>
    <n v="57400"/>
  </r>
  <r>
    <x v="28"/>
    <x v="20"/>
    <x v="2"/>
    <x v="4"/>
    <x v="0"/>
    <x v="9"/>
    <n v="17"/>
    <n v="1962"/>
    <x v="205"/>
    <x v="0"/>
    <n v="1450"/>
    <n v="33354"/>
    <n v="8704"/>
    <n v="26.095820591233437"/>
    <n v="24650"/>
  </r>
  <r>
    <x v="78"/>
    <x v="12"/>
    <x v="3"/>
    <x v="4"/>
    <x v="5"/>
    <x v="4"/>
    <n v="15"/>
    <n v="1291"/>
    <x v="206"/>
    <x v="0"/>
    <n v="1100"/>
    <n v="19365"/>
    <n v="2865"/>
    <n v="14.794732765298219"/>
    <n v="16500"/>
  </r>
  <r>
    <x v="70"/>
    <x v="21"/>
    <x v="2"/>
    <x v="0"/>
    <x v="8"/>
    <x v="1"/>
    <n v="34"/>
    <n v="651"/>
    <x v="207"/>
    <x v="1"/>
    <n v="550"/>
    <n v="22134"/>
    <n v="3434"/>
    <n v="15.514592933947775"/>
    <n v="18700"/>
  </r>
  <r>
    <x v="53"/>
    <x v="24"/>
    <x v="2"/>
    <x v="7"/>
    <x v="7"/>
    <x v="1"/>
    <n v="35"/>
    <n v="674"/>
    <x v="208"/>
    <x v="0"/>
    <n v="550"/>
    <n v="23590"/>
    <n v="4340"/>
    <n v="18.397626112759642"/>
    <n v="19250"/>
  </r>
  <r>
    <x v="7"/>
    <x v="7"/>
    <x v="2"/>
    <x v="6"/>
    <x v="4"/>
    <x v="4"/>
    <n v="17"/>
    <n v="1738"/>
    <x v="209"/>
    <x v="1"/>
    <n v="1100"/>
    <n v="29546"/>
    <n v="10846"/>
    <n v="36.708860759493675"/>
    <n v="18700"/>
  </r>
  <r>
    <x v="77"/>
    <x v="6"/>
    <x v="1"/>
    <x v="7"/>
    <x v="8"/>
    <x v="7"/>
    <n v="43"/>
    <n v="609"/>
    <x v="210"/>
    <x v="0"/>
    <n v="400"/>
    <n v="26187"/>
    <n v="8987"/>
    <n v="34.318555008210183"/>
    <n v="17200"/>
  </r>
  <r>
    <x v="4"/>
    <x v="4"/>
    <x v="4"/>
    <x v="4"/>
    <x v="6"/>
    <x v="2"/>
    <n v="24"/>
    <n v="2071"/>
    <x v="211"/>
    <x v="0"/>
    <n v="1700"/>
    <n v="49704"/>
    <n v="8904"/>
    <n v="17.91405118300338"/>
    <n v="40800"/>
  </r>
  <r>
    <x v="9"/>
    <x v="3"/>
    <x v="0"/>
    <x v="5"/>
    <x v="3"/>
    <x v="0"/>
    <n v="19"/>
    <n v="1348"/>
    <x v="212"/>
    <x v="1"/>
    <n v="850"/>
    <n v="25612"/>
    <n v="9462"/>
    <n v="36.943620178041542"/>
    <n v="16150"/>
  </r>
  <r>
    <x v="79"/>
    <x v="24"/>
    <x v="3"/>
    <x v="7"/>
    <x v="1"/>
    <x v="1"/>
    <n v="17"/>
    <n v="1043"/>
    <x v="213"/>
    <x v="0"/>
    <n v="650"/>
    <n v="17731"/>
    <n v="6681"/>
    <n v="37.679769894534999"/>
    <n v="11050"/>
  </r>
  <r>
    <x v="47"/>
    <x v="14"/>
    <x v="1"/>
    <x v="6"/>
    <x v="7"/>
    <x v="9"/>
    <n v="21"/>
    <n v="677"/>
    <x v="214"/>
    <x v="1"/>
    <n v="400"/>
    <n v="14217"/>
    <n v="5817"/>
    <n v="40.915805022156569"/>
    <n v="8400"/>
  </r>
  <r>
    <x v="80"/>
    <x v="30"/>
    <x v="3"/>
    <x v="6"/>
    <x v="6"/>
    <x v="2"/>
    <n v="12"/>
    <n v="325"/>
    <x v="215"/>
    <x v="0"/>
    <n v="200"/>
    <n v="3900"/>
    <n v="1500"/>
    <n v="38.461538461538467"/>
    <n v="2400"/>
  </r>
  <r>
    <x v="29"/>
    <x v="21"/>
    <x v="2"/>
    <x v="4"/>
    <x v="9"/>
    <x v="3"/>
    <n v="50"/>
    <n v="1082"/>
    <x v="216"/>
    <x v="0"/>
    <n v="950"/>
    <n v="54100"/>
    <n v="6600"/>
    <n v="12.199630314232902"/>
    <n v="47500"/>
  </r>
  <r>
    <x v="32"/>
    <x v="19"/>
    <x v="1"/>
    <x v="1"/>
    <x v="3"/>
    <x v="1"/>
    <n v="19"/>
    <n v="952"/>
    <x v="217"/>
    <x v="0"/>
    <n v="700"/>
    <n v="18088"/>
    <n v="4788"/>
    <n v="26.47058823529412"/>
    <n v="13300"/>
  </r>
  <r>
    <x v="20"/>
    <x v="15"/>
    <x v="4"/>
    <x v="2"/>
    <x v="4"/>
    <x v="4"/>
    <n v="22"/>
    <n v="516"/>
    <x v="218"/>
    <x v="0"/>
    <n v="450"/>
    <n v="11352"/>
    <n v="1452"/>
    <n v="12.790697674418606"/>
    <n v="9900"/>
  </r>
  <r>
    <x v="62"/>
    <x v="20"/>
    <x v="1"/>
    <x v="4"/>
    <x v="3"/>
    <x v="9"/>
    <n v="45"/>
    <n v="1975"/>
    <x v="219"/>
    <x v="0"/>
    <n v="1700"/>
    <n v="88875"/>
    <n v="12375"/>
    <n v="13.924050632911392"/>
    <n v="76500"/>
  </r>
  <r>
    <x v="11"/>
    <x v="1"/>
    <x v="2"/>
    <x v="4"/>
    <x v="5"/>
    <x v="4"/>
    <n v="47"/>
    <n v="1422"/>
    <x v="220"/>
    <x v="1"/>
    <n v="1200"/>
    <n v="66834"/>
    <n v="10434"/>
    <n v="15.611814345991561"/>
    <n v="56400"/>
  </r>
  <r>
    <x v="53"/>
    <x v="24"/>
    <x v="1"/>
    <x v="4"/>
    <x v="1"/>
    <x v="3"/>
    <n v="14"/>
    <n v="2188"/>
    <x v="221"/>
    <x v="0"/>
    <n v="1250"/>
    <n v="30632"/>
    <n v="13132"/>
    <n v="42.870201096892139"/>
    <n v="17500"/>
  </r>
  <r>
    <x v="12"/>
    <x v="10"/>
    <x v="2"/>
    <x v="1"/>
    <x v="2"/>
    <x v="1"/>
    <n v="21"/>
    <n v="1943"/>
    <x v="222"/>
    <x v="1"/>
    <n v="1400"/>
    <n v="40803"/>
    <n v="11403"/>
    <n v="27.946474523932064"/>
    <n v="29400"/>
  </r>
  <r>
    <x v="8"/>
    <x v="8"/>
    <x v="2"/>
    <x v="6"/>
    <x v="1"/>
    <x v="3"/>
    <n v="34"/>
    <n v="2239"/>
    <x v="223"/>
    <x v="1"/>
    <n v="1200"/>
    <n v="76126"/>
    <n v="35326"/>
    <n v="46.404644930772662"/>
    <n v="40800"/>
  </r>
  <r>
    <x v="66"/>
    <x v="21"/>
    <x v="0"/>
    <x v="0"/>
    <x v="3"/>
    <x v="8"/>
    <n v="26"/>
    <n v="2784"/>
    <x v="224"/>
    <x v="0"/>
    <n v="2400"/>
    <n v="72384"/>
    <n v="9984"/>
    <n v="13.793103448275861"/>
    <n v="62400"/>
  </r>
  <r>
    <x v="73"/>
    <x v="4"/>
    <x v="1"/>
    <x v="6"/>
    <x v="8"/>
    <x v="3"/>
    <n v="38"/>
    <n v="942"/>
    <x v="225"/>
    <x v="0"/>
    <n v="700"/>
    <n v="35796"/>
    <n v="9196"/>
    <n v="25.690021231422506"/>
    <n v="26600"/>
  </r>
  <r>
    <x v="16"/>
    <x v="7"/>
    <x v="2"/>
    <x v="0"/>
    <x v="0"/>
    <x v="4"/>
    <n v="43"/>
    <n v="1462"/>
    <x v="226"/>
    <x v="1"/>
    <n v="1100"/>
    <n v="62866"/>
    <n v="15566"/>
    <n v="24.760601915184679"/>
    <n v="47300"/>
  </r>
  <r>
    <x v="9"/>
    <x v="3"/>
    <x v="4"/>
    <x v="0"/>
    <x v="2"/>
    <x v="3"/>
    <n v="24"/>
    <n v="2954"/>
    <x v="227"/>
    <x v="1"/>
    <n v="1650"/>
    <n v="70896"/>
    <n v="31296"/>
    <n v="44.143534190927561"/>
    <n v="39600"/>
  </r>
  <r>
    <x v="40"/>
    <x v="25"/>
    <x v="1"/>
    <x v="7"/>
    <x v="3"/>
    <x v="9"/>
    <n v="26"/>
    <n v="334"/>
    <x v="228"/>
    <x v="0"/>
    <n v="200"/>
    <n v="8684"/>
    <n v="3484"/>
    <n v="40.119760479041915"/>
    <n v="5200"/>
  </r>
  <r>
    <x v="45"/>
    <x v="11"/>
    <x v="1"/>
    <x v="3"/>
    <x v="1"/>
    <x v="9"/>
    <n v="23"/>
    <n v="1702"/>
    <x v="229"/>
    <x v="0"/>
    <n v="900"/>
    <n v="39146"/>
    <n v="18446"/>
    <n v="47.121034077555819"/>
    <n v="20700"/>
  </r>
  <r>
    <x v="56"/>
    <x v="15"/>
    <x v="1"/>
    <x v="5"/>
    <x v="7"/>
    <x v="6"/>
    <n v="28"/>
    <n v="1482"/>
    <x v="230"/>
    <x v="0"/>
    <n v="1150"/>
    <n v="41496"/>
    <n v="9296"/>
    <n v="22.402159244264507"/>
    <n v="32200"/>
  </r>
  <r>
    <x v="30"/>
    <x v="15"/>
    <x v="4"/>
    <x v="5"/>
    <x v="7"/>
    <x v="1"/>
    <n v="25"/>
    <n v="2701"/>
    <x v="231"/>
    <x v="0"/>
    <n v="1900"/>
    <n v="67525"/>
    <n v="20025"/>
    <n v="29.655683080340616"/>
    <n v="47500"/>
  </r>
  <r>
    <x v="81"/>
    <x v="13"/>
    <x v="3"/>
    <x v="0"/>
    <x v="3"/>
    <x v="5"/>
    <n v="34"/>
    <n v="2196"/>
    <x v="232"/>
    <x v="1"/>
    <n v="1250"/>
    <n v="74664"/>
    <n v="32164"/>
    <n v="43.078324225865209"/>
    <n v="42500"/>
  </r>
  <r>
    <x v="63"/>
    <x v="28"/>
    <x v="2"/>
    <x v="2"/>
    <x v="1"/>
    <x v="5"/>
    <n v="8"/>
    <n v="933"/>
    <x v="233"/>
    <x v="1"/>
    <n v="650"/>
    <n v="7464"/>
    <n v="2264"/>
    <n v="30.332261521972132"/>
    <n v="5200"/>
  </r>
  <r>
    <x v="45"/>
    <x v="11"/>
    <x v="1"/>
    <x v="5"/>
    <x v="1"/>
    <x v="9"/>
    <n v="38"/>
    <n v="1305"/>
    <x v="234"/>
    <x v="0"/>
    <n v="700"/>
    <n v="49590"/>
    <n v="22990"/>
    <n v="46.360153256704983"/>
    <n v="26600"/>
  </r>
  <r>
    <x v="82"/>
    <x v="27"/>
    <x v="3"/>
    <x v="4"/>
    <x v="1"/>
    <x v="5"/>
    <n v="25"/>
    <n v="2406"/>
    <x v="235"/>
    <x v="0"/>
    <n v="1850"/>
    <n v="60150"/>
    <n v="13900"/>
    <n v="23.10889443059019"/>
    <n v="46250"/>
  </r>
  <r>
    <x v="21"/>
    <x v="16"/>
    <x v="1"/>
    <x v="7"/>
    <x v="5"/>
    <x v="4"/>
    <n v="13"/>
    <n v="1685"/>
    <x v="236"/>
    <x v="1"/>
    <n v="1400"/>
    <n v="21905"/>
    <n v="3705"/>
    <n v="16.913946587537094"/>
    <n v="18200"/>
  </r>
  <r>
    <x v="83"/>
    <x v="2"/>
    <x v="3"/>
    <x v="6"/>
    <x v="7"/>
    <x v="9"/>
    <n v="32"/>
    <n v="2717"/>
    <x v="237"/>
    <x v="1"/>
    <n v="2400"/>
    <n v="86944"/>
    <n v="10144"/>
    <n v="11.667280088332719"/>
    <n v="76800"/>
  </r>
  <r>
    <x v="59"/>
    <x v="0"/>
    <x v="4"/>
    <x v="6"/>
    <x v="3"/>
    <x v="1"/>
    <n v="46"/>
    <n v="2574"/>
    <x v="238"/>
    <x v="0"/>
    <n v="2200"/>
    <n v="118404"/>
    <n v="17204"/>
    <n v="14.529914529914532"/>
    <n v="101200"/>
  </r>
  <r>
    <x v="70"/>
    <x v="21"/>
    <x v="4"/>
    <x v="4"/>
    <x v="5"/>
    <x v="9"/>
    <n v="19"/>
    <n v="2755"/>
    <x v="239"/>
    <x v="1"/>
    <n v="2350"/>
    <n v="52345"/>
    <n v="7695"/>
    <n v="14.700544464609798"/>
    <n v="44650"/>
  </r>
  <r>
    <x v="6"/>
    <x v="6"/>
    <x v="1"/>
    <x v="3"/>
    <x v="1"/>
    <x v="6"/>
    <n v="23"/>
    <n v="1649"/>
    <x v="240"/>
    <x v="1"/>
    <n v="1400"/>
    <n v="37927"/>
    <n v="5727"/>
    <n v="15.100060642813826"/>
    <n v="32200"/>
  </r>
  <r>
    <x v="4"/>
    <x v="4"/>
    <x v="1"/>
    <x v="4"/>
    <x v="0"/>
    <x v="2"/>
    <n v="13"/>
    <n v="1663"/>
    <x v="241"/>
    <x v="0"/>
    <n v="1000"/>
    <n v="21619"/>
    <n v="8619"/>
    <n v="39.867708959711365"/>
    <n v="13000"/>
  </r>
  <r>
    <x v="27"/>
    <x v="1"/>
    <x v="1"/>
    <x v="3"/>
    <x v="8"/>
    <x v="8"/>
    <n v="9"/>
    <n v="1245"/>
    <x v="242"/>
    <x v="1"/>
    <n v="750"/>
    <n v="11205"/>
    <n v="4455"/>
    <n v="39.75903614457831"/>
    <n v="6750"/>
  </r>
  <r>
    <x v="70"/>
    <x v="21"/>
    <x v="0"/>
    <x v="3"/>
    <x v="8"/>
    <x v="0"/>
    <n v="5"/>
    <n v="692"/>
    <x v="243"/>
    <x v="1"/>
    <n v="500"/>
    <n v="3460"/>
    <n v="960"/>
    <n v="27.74566473988439"/>
    <n v="2500"/>
  </r>
  <r>
    <x v="18"/>
    <x v="14"/>
    <x v="1"/>
    <x v="1"/>
    <x v="1"/>
    <x v="9"/>
    <n v="22"/>
    <n v="1110"/>
    <x v="244"/>
    <x v="0"/>
    <n v="750"/>
    <n v="24420"/>
    <n v="7920"/>
    <n v="32.432432432432435"/>
    <n v="16500"/>
  </r>
  <r>
    <x v="76"/>
    <x v="20"/>
    <x v="0"/>
    <x v="4"/>
    <x v="9"/>
    <x v="8"/>
    <n v="43"/>
    <n v="2869"/>
    <x v="245"/>
    <x v="0"/>
    <n v="2350"/>
    <n v="123367"/>
    <n v="22317"/>
    <n v="18.089926803764378"/>
    <n v="101050"/>
  </r>
  <r>
    <x v="84"/>
    <x v="2"/>
    <x v="3"/>
    <x v="3"/>
    <x v="5"/>
    <x v="3"/>
    <n v="26"/>
    <n v="2663"/>
    <x v="246"/>
    <x v="1"/>
    <n v="1500"/>
    <n v="69238"/>
    <n v="30238"/>
    <n v="43.672549755914382"/>
    <n v="39000"/>
  </r>
  <r>
    <x v="5"/>
    <x v="5"/>
    <x v="2"/>
    <x v="1"/>
    <x v="2"/>
    <x v="4"/>
    <n v="34"/>
    <n v="1283"/>
    <x v="247"/>
    <x v="1"/>
    <n v="700"/>
    <n v="43622"/>
    <n v="19822"/>
    <n v="45.440374123148871"/>
    <n v="23800"/>
  </r>
  <r>
    <x v="81"/>
    <x v="13"/>
    <x v="3"/>
    <x v="1"/>
    <x v="8"/>
    <x v="5"/>
    <n v="35"/>
    <n v="818"/>
    <x v="248"/>
    <x v="1"/>
    <n v="400"/>
    <n v="28630"/>
    <n v="14630"/>
    <n v="51.100244498777499"/>
    <n v="14000"/>
  </r>
  <r>
    <x v="85"/>
    <x v="29"/>
    <x v="2"/>
    <x v="6"/>
    <x v="0"/>
    <x v="4"/>
    <n v="17"/>
    <n v="1435"/>
    <x v="249"/>
    <x v="0"/>
    <n v="750"/>
    <n v="24395"/>
    <n v="11645"/>
    <n v="47.735191637630663"/>
    <n v="12750"/>
  </r>
  <r>
    <x v="51"/>
    <x v="9"/>
    <x v="1"/>
    <x v="4"/>
    <x v="8"/>
    <x v="4"/>
    <n v="42"/>
    <n v="303"/>
    <x v="250"/>
    <x v="1"/>
    <n v="200"/>
    <n v="12726"/>
    <n v="4326"/>
    <n v="33.993399339933994"/>
    <n v="8400"/>
  </r>
  <r>
    <x v="68"/>
    <x v="27"/>
    <x v="4"/>
    <x v="4"/>
    <x v="6"/>
    <x v="7"/>
    <n v="46"/>
    <n v="2828"/>
    <x v="251"/>
    <x v="0"/>
    <n v="1500"/>
    <n v="130088"/>
    <n v="61088"/>
    <n v="46.958981612446962"/>
    <n v="69000"/>
  </r>
  <r>
    <x v="51"/>
    <x v="9"/>
    <x v="3"/>
    <x v="4"/>
    <x v="8"/>
    <x v="3"/>
    <n v="32"/>
    <n v="1315"/>
    <x v="252"/>
    <x v="0"/>
    <n v="1000"/>
    <n v="42080"/>
    <n v="10080"/>
    <n v="23.954372623574145"/>
    <n v="32000"/>
  </r>
  <r>
    <x v="3"/>
    <x v="3"/>
    <x v="2"/>
    <x v="2"/>
    <x v="0"/>
    <x v="3"/>
    <n v="42"/>
    <n v="1933"/>
    <x v="253"/>
    <x v="1"/>
    <n v="1150"/>
    <n v="81186"/>
    <n v="32886"/>
    <n v="40.506983962752194"/>
    <n v="48300"/>
  </r>
  <r>
    <x v="68"/>
    <x v="27"/>
    <x v="2"/>
    <x v="4"/>
    <x v="7"/>
    <x v="5"/>
    <n v="10"/>
    <n v="707"/>
    <x v="254"/>
    <x v="0"/>
    <n v="500"/>
    <n v="7070"/>
    <n v="2070"/>
    <n v="29.278642149929279"/>
    <n v="5000"/>
  </r>
  <r>
    <x v="35"/>
    <x v="24"/>
    <x v="0"/>
    <x v="5"/>
    <x v="1"/>
    <x v="1"/>
    <n v="40"/>
    <n v="2052"/>
    <x v="255"/>
    <x v="1"/>
    <n v="1500"/>
    <n v="82080"/>
    <n v="22080"/>
    <n v="26.900584795321635"/>
    <n v="60000"/>
  </r>
  <r>
    <x v="63"/>
    <x v="28"/>
    <x v="2"/>
    <x v="0"/>
    <x v="2"/>
    <x v="3"/>
    <n v="48"/>
    <n v="702"/>
    <x v="256"/>
    <x v="1"/>
    <n v="500"/>
    <n v="33696"/>
    <n v="9696"/>
    <n v="28.774928774928775"/>
    <n v="24000"/>
  </r>
  <r>
    <x v="26"/>
    <x v="19"/>
    <x v="1"/>
    <x v="7"/>
    <x v="7"/>
    <x v="9"/>
    <n v="10"/>
    <n v="2013"/>
    <x v="257"/>
    <x v="0"/>
    <n v="1150"/>
    <n v="20130"/>
    <n v="8630"/>
    <n v="42.871336313959262"/>
    <n v="11500"/>
  </r>
  <r>
    <x v="16"/>
    <x v="7"/>
    <x v="2"/>
    <x v="1"/>
    <x v="6"/>
    <x v="5"/>
    <n v="8"/>
    <n v="1747"/>
    <x v="258"/>
    <x v="0"/>
    <n v="1050"/>
    <n v="13976"/>
    <n v="5576"/>
    <n v="39.896966227819121"/>
    <n v="8400"/>
  </r>
  <r>
    <x v="84"/>
    <x v="2"/>
    <x v="2"/>
    <x v="1"/>
    <x v="4"/>
    <x v="3"/>
    <n v="46"/>
    <n v="636"/>
    <x v="259"/>
    <x v="0"/>
    <n v="400"/>
    <n v="29256"/>
    <n v="10856"/>
    <n v="37.106918238993707"/>
    <n v="18400"/>
  </r>
  <r>
    <x v="15"/>
    <x v="9"/>
    <x v="2"/>
    <x v="3"/>
    <x v="9"/>
    <x v="3"/>
    <n v="19"/>
    <n v="1046"/>
    <x v="260"/>
    <x v="0"/>
    <n v="600"/>
    <n v="19874"/>
    <n v="8474"/>
    <n v="42.638623326959845"/>
    <n v="11400"/>
  </r>
  <r>
    <x v="16"/>
    <x v="7"/>
    <x v="3"/>
    <x v="3"/>
    <x v="3"/>
    <x v="2"/>
    <n v="36"/>
    <n v="1959"/>
    <x v="261"/>
    <x v="0"/>
    <n v="1250"/>
    <n v="70524"/>
    <n v="25524"/>
    <n v="36.191934660541094"/>
    <n v="45000"/>
  </r>
  <r>
    <x v="5"/>
    <x v="5"/>
    <x v="2"/>
    <x v="6"/>
    <x v="4"/>
    <x v="2"/>
    <n v="30"/>
    <n v="1384"/>
    <x v="262"/>
    <x v="1"/>
    <n v="750"/>
    <n v="41520"/>
    <n v="19020"/>
    <n v="45.809248554913296"/>
    <n v="22500"/>
  </r>
  <r>
    <x v="38"/>
    <x v="8"/>
    <x v="0"/>
    <x v="3"/>
    <x v="8"/>
    <x v="5"/>
    <n v="35"/>
    <n v="1491"/>
    <x v="263"/>
    <x v="0"/>
    <n v="900"/>
    <n v="52185"/>
    <n v="20685"/>
    <n v="39.637826961770621"/>
    <n v="31500"/>
  </r>
  <r>
    <x v="79"/>
    <x v="24"/>
    <x v="4"/>
    <x v="7"/>
    <x v="1"/>
    <x v="7"/>
    <n v="5"/>
    <n v="949"/>
    <x v="264"/>
    <x v="1"/>
    <n v="650"/>
    <n v="4745"/>
    <n v="1495"/>
    <n v="31.506849315068493"/>
    <n v="3250"/>
  </r>
  <r>
    <x v="22"/>
    <x v="17"/>
    <x v="0"/>
    <x v="1"/>
    <x v="3"/>
    <x v="5"/>
    <n v="29"/>
    <n v="2279"/>
    <x v="265"/>
    <x v="0"/>
    <n v="1300"/>
    <n v="66091"/>
    <n v="28391"/>
    <n v="42.957437472575691"/>
    <n v="37700"/>
  </r>
  <r>
    <x v="1"/>
    <x v="1"/>
    <x v="3"/>
    <x v="7"/>
    <x v="7"/>
    <x v="8"/>
    <n v="47"/>
    <n v="1103"/>
    <x v="266"/>
    <x v="0"/>
    <n v="750"/>
    <n v="51841"/>
    <n v="16591"/>
    <n v="32.003626473254762"/>
    <n v="35250"/>
  </r>
  <r>
    <x v="35"/>
    <x v="24"/>
    <x v="1"/>
    <x v="2"/>
    <x v="7"/>
    <x v="1"/>
    <n v="44"/>
    <n v="1561"/>
    <x v="267"/>
    <x v="1"/>
    <n v="800"/>
    <n v="68684"/>
    <n v="33484"/>
    <n v="48.750800768737989"/>
    <n v="35200"/>
  </r>
  <r>
    <x v="21"/>
    <x v="16"/>
    <x v="4"/>
    <x v="2"/>
    <x v="8"/>
    <x v="5"/>
    <n v="22"/>
    <n v="476"/>
    <x v="268"/>
    <x v="0"/>
    <n v="450"/>
    <n v="10472"/>
    <n v="572"/>
    <n v="5.46218487394958"/>
    <n v="9900"/>
  </r>
  <r>
    <x v="22"/>
    <x v="17"/>
    <x v="1"/>
    <x v="5"/>
    <x v="0"/>
    <x v="2"/>
    <n v="44"/>
    <n v="1248"/>
    <x v="269"/>
    <x v="0"/>
    <n v="1050"/>
    <n v="54912"/>
    <n v="8712"/>
    <n v="15.865384615384615"/>
    <n v="46200"/>
  </r>
  <r>
    <x v="38"/>
    <x v="8"/>
    <x v="4"/>
    <x v="4"/>
    <x v="7"/>
    <x v="1"/>
    <n v="8"/>
    <n v="623"/>
    <x v="270"/>
    <x v="0"/>
    <n v="400"/>
    <n v="4984"/>
    <n v="1784"/>
    <n v="35.794542536115571"/>
    <n v="3200"/>
  </r>
  <r>
    <x v="4"/>
    <x v="4"/>
    <x v="0"/>
    <x v="2"/>
    <x v="6"/>
    <x v="7"/>
    <n v="47"/>
    <n v="1439"/>
    <x v="271"/>
    <x v="1"/>
    <n v="1050"/>
    <n v="67633"/>
    <n v="18283"/>
    <n v="27.032661570535094"/>
    <n v="49350"/>
  </r>
  <r>
    <x v="28"/>
    <x v="20"/>
    <x v="3"/>
    <x v="4"/>
    <x v="3"/>
    <x v="5"/>
    <n v="43"/>
    <n v="1985"/>
    <x v="272"/>
    <x v="1"/>
    <n v="1050"/>
    <n v="85355"/>
    <n v="40205"/>
    <n v="47.103274559193956"/>
    <n v="45150"/>
  </r>
  <r>
    <x v="21"/>
    <x v="16"/>
    <x v="3"/>
    <x v="6"/>
    <x v="2"/>
    <x v="6"/>
    <n v="11"/>
    <n v="2396"/>
    <x v="273"/>
    <x v="1"/>
    <n v="2100"/>
    <n v="26356"/>
    <n v="3256"/>
    <n v="12.353923205342237"/>
    <n v="23100"/>
  </r>
  <r>
    <x v="34"/>
    <x v="12"/>
    <x v="2"/>
    <x v="5"/>
    <x v="9"/>
    <x v="5"/>
    <n v="11"/>
    <n v="1612"/>
    <x v="274"/>
    <x v="1"/>
    <n v="1050"/>
    <n v="17732"/>
    <n v="6182"/>
    <n v="34.863523573200993"/>
    <n v="11550"/>
  </r>
  <r>
    <x v="4"/>
    <x v="4"/>
    <x v="2"/>
    <x v="4"/>
    <x v="1"/>
    <x v="3"/>
    <n v="24"/>
    <n v="2672"/>
    <x v="275"/>
    <x v="1"/>
    <n v="1450"/>
    <n v="64128"/>
    <n v="29328"/>
    <n v="45.733532934131738"/>
    <n v="34800"/>
  </r>
  <r>
    <x v="80"/>
    <x v="30"/>
    <x v="2"/>
    <x v="2"/>
    <x v="9"/>
    <x v="8"/>
    <n v="25"/>
    <n v="335"/>
    <x v="276"/>
    <x v="1"/>
    <n v="300"/>
    <n v="8375"/>
    <n v="875"/>
    <n v="10.44776119402985"/>
    <n v="7500"/>
  </r>
  <r>
    <x v="86"/>
    <x v="28"/>
    <x v="2"/>
    <x v="4"/>
    <x v="6"/>
    <x v="7"/>
    <n v="8"/>
    <n v="1820"/>
    <x v="277"/>
    <x v="1"/>
    <n v="1100"/>
    <n v="14560"/>
    <n v="5760"/>
    <n v="39.560439560439562"/>
    <n v="8800"/>
  </r>
  <r>
    <x v="25"/>
    <x v="8"/>
    <x v="1"/>
    <x v="6"/>
    <x v="8"/>
    <x v="9"/>
    <n v="15"/>
    <n v="1649"/>
    <x v="278"/>
    <x v="1"/>
    <n v="900"/>
    <n v="24735"/>
    <n v="11235"/>
    <n v="45.421467556094605"/>
    <n v="13500"/>
  </r>
  <r>
    <x v="71"/>
    <x v="29"/>
    <x v="1"/>
    <x v="5"/>
    <x v="7"/>
    <x v="2"/>
    <n v="26"/>
    <n v="2038"/>
    <x v="279"/>
    <x v="1"/>
    <n v="1050"/>
    <n v="52988"/>
    <n v="25688"/>
    <n v="48.478900883218841"/>
    <n v="27300"/>
  </r>
  <r>
    <x v="22"/>
    <x v="17"/>
    <x v="2"/>
    <x v="2"/>
    <x v="9"/>
    <x v="7"/>
    <n v="16"/>
    <n v="657"/>
    <x v="280"/>
    <x v="0"/>
    <n v="400"/>
    <n v="10512"/>
    <n v="4112"/>
    <n v="39.117199391171994"/>
    <n v="6400"/>
  </r>
  <r>
    <x v="17"/>
    <x v="13"/>
    <x v="1"/>
    <x v="1"/>
    <x v="3"/>
    <x v="9"/>
    <n v="44"/>
    <n v="2544"/>
    <x v="281"/>
    <x v="1"/>
    <n v="2100"/>
    <n v="111936"/>
    <n v="19536"/>
    <n v="17.452830188679243"/>
    <n v="92400"/>
  </r>
  <r>
    <x v="76"/>
    <x v="20"/>
    <x v="3"/>
    <x v="6"/>
    <x v="3"/>
    <x v="3"/>
    <n v="11"/>
    <n v="2129"/>
    <x v="282"/>
    <x v="0"/>
    <n v="1650"/>
    <n v="23419"/>
    <n v="5269"/>
    <n v="22.498825739783936"/>
    <n v="18150"/>
  </r>
  <r>
    <x v="77"/>
    <x v="6"/>
    <x v="4"/>
    <x v="3"/>
    <x v="9"/>
    <x v="7"/>
    <n v="50"/>
    <n v="2181"/>
    <x v="283"/>
    <x v="0"/>
    <n v="1500"/>
    <n v="109050"/>
    <n v="34050"/>
    <n v="31.224209078404403"/>
    <n v="75000"/>
  </r>
  <r>
    <x v="65"/>
    <x v="25"/>
    <x v="3"/>
    <x v="7"/>
    <x v="4"/>
    <x v="9"/>
    <n v="28"/>
    <n v="2348"/>
    <x v="284"/>
    <x v="0"/>
    <n v="2050"/>
    <n v="65744"/>
    <n v="8344"/>
    <n v="12.691652470187393"/>
    <n v="57400"/>
  </r>
  <r>
    <x v="74"/>
    <x v="19"/>
    <x v="2"/>
    <x v="2"/>
    <x v="0"/>
    <x v="3"/>
    <n v="32"/>
    <n v="2133"/>
    <x v="285"/>
    <x v="0"/>
    <n v="1700"/>
    <n v="68256"/>
    <n v="13856"/>
    <n v="20.300046882325361"/>
    <n v="54400"/>
  </r>
  <r>
    <x v="1"/>
    <x v="1"/>
    <x v="1"/>
    <x v="3"/>
    <x v="2"/>
    <x v="4"/>
    <n v="19"/>
    <n v="2469"/>
    <x v="286"/>
    <x v="0"/>
    <n v="1600"/>
    <n v="46911"/>
    <n v="16511"/>
    <n v="35.196435803969216"/>
    <n v="30400"/>
  </r>
  <r>
    <x v="81"/>
    <x v="13"/>
    <x v="3"/>
    <x v="3"/>
    <x v="8"/>
    <x v="4"/>
    <n v="9"/>
    <n v="1183"/>
    <x v="287"/>
    <x v="0"/>
    <n v="700"/>
    <n v="10647"/>
    <n v="4347"/>
    <n v="40.828402366863905"/>
    <n v="6300"/>
  </r>
  <r>
    <x v="25"/>
    <x v="8"/>
    <x v="2"/>
    <x v="6"/>
    <x v="0"/>
    <x v="3"/>
    <n v="10"/>
    <n v="368"/>
    <x v="288"/>
    <x v="1"/>
    <n v="250"/>
    <n v="3680"/>
    <n v="1180"/>
    <n v="32.065217391304344"/>
    <n v="2500"/>
  </r>
  <r>
    <x v="82"/>
    <x v="27"/>
    <x v="3"/>
    <x v="5"/>
    <x v="3"/>
    <x v="5"/>
    <n v="24"/>
    <n v="1011"/>
    <x v="289"/>
    <x v="0"/>
    <n v="650"/>
    <n v="24264"/>
    <n v="8664"/>
    <n v="35.707220573689419"/>
    <n v="15600"/>
  </r>
  <r>
    <x v="80"/>
    <x v="30"/>
    <x v="2"/>
    <x v="4"/>
    <x v="7"/>
    <x v="3"/>
    <n v="18"/>
    <n v="883"/>
    <x v="290"/>
    <x v="0"/>
    <n v="650"/>
    <n v="15894"/>
    <n v="4194"/>
    <n v="26.387315968289922"/>
    <n v="11700"/>
  </r>
  <r>
    <x v="21"/>
    <x v="16"/>
    <x v="2"/>
    <x v="5"/>
    <x v="7"/>
    <x v="6"/>
    <n v="42"/>
    <n v="1919"/>
    <x v="291"/>
    <x v="0"/>
    <n v="1250"/>
    <n v="80598"/>
    <n v="28098"/>
    <n v="34.861907243355915"/>
    <n v="52500"/>
  </r>
  <r>
    <x v="24"/>
    <x v="7"/>
    <x v="0"/>
    <x v="3"/>
    <x v="3"/>
    <x v="9"/>
    <n v="7"/>
    <n v="1270"/>
    <x v="292"/>
    <x v="0"/>
    <n v="700"/>
    <n v="8890"/>
    <n v="3990"/>
    <n v="44.881889763779526"/>
    <n v="4900"/>
  </r>
  <r>
    <x v="7"/>
    <x v="7"/>
    <x v="2"/>
    <x v="1"/>
    <x v="2"/>
    <x v="0"/>
    <n v="8"/>
    <n v="1875"/>
    <x v="293"/>
    <x v="0"/>
    <n v="1650"/>
    <n v="15000"/>
    <n v="1800"/>
    <n v="12"/>
    <n v="13200"/>
  </r>
  <r>
    <x v="30"/>
    <x v="15"/>
    <x v="0"/>
    <x v="4"/>
    <x v="3"/>
    <x v="5"/>
    <n v="50"/>
    <n v="1033"/>
    <x v="294"/>
    <x v="0"/>
    <n v="550"/>
    <n v="51650"/>
    <n v="24150"/>
    <n v="46.757018393030009"/>
    <n v="27500"/>
  </r>
  <r>
    <x v="70"/>
    <x v="21"/>
    <x v="4"/>
    <x v="0"/>
    <x v="6"/>
    <x v="8"/>
    <n v="15"/>
    <n v="2570"/>
    <x v="295"/>
    <x v="1"/>
    <n v="2000"/>
    <n v="38550"/>
    <n v="8550"/>
    <n v="22.178988326848248"/>
    <n v="30000"/>
  </r>
  <r>
    <x v="66"/>
    <x v="21"/>
    <x v="3"/>
    <x v="7"/>
    <x v="6"/>
    <x v="1"/>
    <n v="22"/>
    <n v="2137"/>
    <x v="296"/>
    <x v="0"/>
    <n v="1800"/>
    <n v="47014"/>
    <n v="7414"/>
    <n v="15.769770706598035"/>
    <n v="39600"/>
  </r>
  <r>
    <x v="5"/>
    <x v="5"/>
    <x v="2"/>
    <x v="0"/>
    <x v="5"/>
    <x v="0"/>
    <n v="9"/>
    <n v="1818"/>
    <x v="297"/>
    <x v="1"/>
    <n v="950"/>
    <n v="16362"/>
    <n v="7812"/>
    <n v="47.744774477447741"/>
    <n v="8550"/>
  </r>
  <r>
    <x v="65"/>
    <x v="25"/>
    <x v="1"/>
    <x v="1"/>
    <x v="6"/>
    <x v="9"/>
    <n v="49"/>
    <n v="2525"/>
    <x v="298"/>
    <x v="1"/>
    <n v="1250"/>
    <n v="123725"/>
    <n v="62475"/>
    <n v="50.495049504950494"/>
    <n v="61250"/>
  </r>
  <r>
    <x v="26"/>
    <x v="19"/>
    <x v="2"/>
    <x v="0"/>
    <x v="5"/>
    <x v="8"/>
    <n v="12"/>
    <n v="1130"/>
    <x v="299"/>
    <x v="1"/>
    <n v="750"/>
    <n v="13560"/>
    <n v="4560"/>
    <n v="33.628318584070797"/>
    <n v="9000"/>
  </r>
  <r>
    <x v="59"/>
    <x v="0"/>
    <x v="1"/>
    <x v="5"/>
    <x v="6"/>
    <x v="6"/>
    <n v="44"/>
    <n v="1225"/>
    <x v="300"/>
    <x v="0"/>
    <n v="1050"/>
    <n v="53900"/>
    <n v="7700"/>
    <n v="14.285714285714285"/>
    <n v="46200"/>
  </r>
  <r>
    <x v="68"/>
    <x v="27"/>
    <x v="0"/>
    <x v="7"/>
    <x v="4"/>
    <x v="0"/>
    <n v="46"/>
    <n v="1388"/>
    <x v="301"/>
    <x v="0"/>
    <n v="850"/>
    <n v="63848"/>
    <n v="24748"/>
    <n v="38.760806916426517"/>
    <n v="39100"/>
  </r>
  <r>
    <x v="57"/>
    <x v="29"/>
    <x v="2"/>
    <x v="6"/>
    <x v="2"/>
    <x v="2"/>
    <n v="7"/>
    <n v="1324"/>
    <x v="302"/>
    <x v="0"/>
    <n v="950"/>
    <n v="9268"/>
    <n v="2618"/>
    <n v="28.247734138972806"/>
    <n v="6650"/>
  </r>
  <r>
    <x v="27"/>
    <x v="1"/>
    <x v="1"/>
    <x v="7"/>
    <x v="9"/>
    <x v="5"/>
    <n v="26"/>
    <n v="2447"/>
    <x v="303"/>
    <x v="0"/>
    <n v="2000"/>
    <n v="63622"/>
    <n v="11622"/>
    <n v="18.267266040049041"/>
    <n v="52000"/>
  </r>
  <r>
    <x v="2"/>
    <x v="2"/>
    <x v="0"/>
    <x v="6"/>
    <x v="1"/>
    <x v="6"/>
    <n v="15"/>
    <n v="366"/>
    <x v="304"/>
    <x v="0"/>
    <n v="300"/>
    <n v="5490"/>
    <n v="990"/>
    <n v="18.032786885245901"/>
    <n v="4500"/>
  </r>
  <r>
    <x v="41"/>
    <x v="16"/>
    <x v="2"/>
    <x v="1"/>
    <x v="0"/>
    <x v="9"/>
    <n v="13"/>
    <n v="2826"/>
    <x v="305"/>
    <x v="1"/>
    <n v="2200"/>
    <n v="36738"/>
    <n v="8138"/>
    <n v="22.151450813871197"/>
    <n v="28600"/>
  </r>
  <r>
    <x v="42"/>
    <x v="13"/>
    <x v="4"/>
    <x v="2"/>
    <x v="4"/>
    <x v="2"/>
    <n v="37"/>
    <n v="1161"/>
    <x v="306"/>
    <x v="0"/>
    <n v="800"/>
    <n v="42957"/>
    <n v="13357"/>
    <n v="31.093884582256674"/>
    <n v="29600"/>
  </r>
  <r>
    <x v="51"/>
    <x v="9"/>
    <x v="3"/>
    <x v="0"/>
    <x v="3"/>
    <x v="9"/>
    <n v="31"/>
    <n v="2192"/>
    <x v="307"/>
    <x v="1"/>
    <n v="1400"/>
    <n v="67952"/>
    <n v="24552"/>
    <n v="36.131386861313871"/>
    <n v="43400"/>
  </r>
  <r>
    <x v="4"/>
    <x v="4"/>
    <x v="4"/>
    <x v="3"/>
    <x v="7"/>
    <x v="9"/>
    <n v="37"/>
    <n v="908"/>
    <x v="308"/>
    <x v="1"/>
    <n v="800"/>
    <n v="33596"/>
    <n v="3996"/>
    <n v="11.894273127753303"/>
    <n v="29600"/>
  </r>
  <r>
    <x v="87"/>
    <x v="30"/>
    <x v="4"/>
    <x v="6"/>
    <x v="6"/>
    <x v="8"/>
    <n v="50"/>
    <n v="1791"/>
    <x v="309"/>
    <x v="0"/>
    <n v="1500"/>
    <n v="89550"/>
    <n v="14550"/>
    <n v="16.247906197654942"/>
    <n v="75000"/>
  </r>
  <r>
    <x v="33"/>
    <x v="23"/>
    <x v="4"/>
    <x v="5"/>
    <x v="7"/>
    <x v="9"/>
    <n v="29"/>
    <n v="1601"/>
    <x v="310"/>
    <x v="0"/>
    <n v="1300"/>
    <n v="46429"/>
    <n v="8729"/>
    <n v="18.800749531542785"/>
    <n v="37700"/>
  </r>
  <r>
    <x v="24"/>
    <x v="7"/>
    <x v="0"/>
    <x v="1"/>
    <x v="2"/>
    <x v="0"/>
    <n v="10"/>
    <n v="439"/>
    <x v="311"/>
    <x v="1"/>
    <n v="300"/>
    <n v="4390"/>
    <n v="1390"/>
    <n v="31.662870159453306"/>
    <n v="3000"/>
  </r>
  <r>
    <x v="82"/>
    <x v="27"/>
    <x v="0"/>
    <x v="4"/>
    <x v="8"/>
    <x v="7"/>
    <n v="46"/>
    <n v="384"/>
    <x v="312"/>
    <x v="1"/>
    <n v="250"/>
    <n v="17664"/>
    <n v="6164"/>
    <n v="34.895833333333329"/>
    <n v="11500"/>
  </r>
  <r>
    <x v="1"/>
    <x v="1"/>
    <x v="1"/>
    <x v="1"/>
    <x v="9"/>
    <x v="1"/>
    <n v="50"/>
    <n v="1622"/>
    <x v="313"/>
    <x v="1"/>
    <n v="850"/>
    <n v="81100"/>
    <n v="38600"/>
    <n v="47.595561035758323"/>
    <n v="42500"/>
  </r>
  <r>
    <x v="49"/>
    <x v="6"/>
    <x v="1"/>
    <x v="5"/>
    <x v="4"/>
    <x v="6"/>
    <n v="17"/>
    <n v="2938"/>
    <x v="314"/>
    <x v="1"/>
    <n v="1650"/>
    <n v="49946"/>
    <n v="21896"/>
    <n v="43.83934649421375"/>
    <n v="28050"/>
  </r>
  <r>
    <x v="15"/>
    <x v="9"/>
    <x v="0"/>
    <x v="4"/>
    <x v="6"/>
    <x v="7"/>
    <n v="36"/>
    <n v="1361"/>
    <x v="315"/>
    <x v="0"/>
    <n v="850"/>
    <n v="48996"/>
    <n v="18396"/>
    <n v="37.545922116091106"/>
    <n v="30600"/>
  </r>
  <r>
    <x v="88"/>
    <x v="5"/>
    <x v="0"/>
    <x v="5"/>
    <x v="1"/>
    <x v="0"/>
    <n v="43"/>
    <n v="2020"/>
    <x v="316"/>
    <x v="0"/>
    <n v="1200"/>
    <n v="86860"/>
    <n v="35260"/>
    <n v="40.594059405940598"/>
    <n v="51600"/>
  </r>
  <r>
    <x v="25"/>
    <x v="8"/>
    <x v="3"/>
    <x v="7"/>
    <x v="6"/>
    <x v="2"/>
    <n v="13"/>
    <n v="1191"/>
    <x v="317"/>
    <x v="1"/>
    <n v="950"/>
    <n v="15483"/>
    <n v="3133"/>
    <n v="20.235096557514691"/>
    <n v="12350"/>
  </r>
  <r>
    <x v="45"/>
    <x v="11"/>
    <x v="0"/>
    <x v="2"/>
    <x v="8"/>
    <x v="2"/>
    <n v="9"/>
    <n v="334"/>
    <x v="318"/>
    <x v="0"/>
    <n v="200"/>
    <n v="3006"/>
    <n v="1206"/>
    <n v="40.119760479041915"/>
    <n v="1800"/>
  </r>
  <r>
    <x v="89"/>
    <x v="14"/>
    <x v="0"/>
    <x v="5"/>
    <x v="2"/>
    <x v="8"/>
    <n v="46"/>
    <n v="2663"/>
    <x v="319"/>
    <x v="0"/>
    <n v="2350"/>
    <n v="122498"/>
    <n v="14398"/>
    <n v="11.753661284265865"/>
    <n v="108100"/>
  </r>
  <r>
    <x v="25"/>
    <x v="8"/>
    <x v="3"/>
    <x v="4"/>
    <x v="5"/>
    <x v="2"/>
    <n v="27"/>
    <n v="838"/>
    <x v="320"/>
    <x v="0"/>
    <n v="650"/>
    <n v="22626"/>
    <n v="5076"/>
    <n v="22.434367541766107"/>
    <n v="17550"/>
  </r>
  <r>
    <x v="11"/>
    <x v="1"/>
    <x v="3"/>
    <x v="3"/>
    <x v="2"/>
    <x v="8"/>
    <n v="40"/>
    <n v="2257"/>
    <x v="321"/>
    <x v="0"/>
    <n v="1950"/>
    <n v="90280"/>
    <n v="12280"/>
    <n v="13.602126716880816"/>
    <n v="78000"/>
  </r>
  <r>
    <x v="52"/>
    <x v="27"/>
    <x v="4"/>
    <x v="2"/>
    <x v="2"/>
    <x v="8"/>
    <n v="15"/>
    <n v="813"/>
    <x v="322"/>
    <x v="1"/>
    <n v="650"/>
    <n v="12195"/>
    <n v="2445"/>
    <n v="20.049200492004921"/>
    <n v="9750"/>
  </r>
  <r>
    <x v="36"/>
    <x v="10"/>
    <x v="3"/>
    <x v="6"/>
    <x v="4"/>
    <x v="9"/>
    <n v="32"/>
    <n v="2861"/>
    <x v="323"/>
    <x v="1"/>
    <n v="1800"/>
    <n v="91552"/>
    <n v="33952"/>
    <n v="37.084935337294652"/>
    <n v="57600"/>
  </r>
  <r>
    <x v="22"/>
    <x v="17"/>
    <x v="1"/>
    <x v="6"/>
    <x v="3"/>
    <x v="6"/>
    <n v="37"/>
    <n v="2067"/>
    <x v="324"/>
    <x v="1"/>
    <n v="1800"/>
    <n v="76479"/>
    <n v="9879"/>
    <n v="12.917271407837447"/>
    <n v="66600"/>
  </r>
  <r>
    <x v="89"/>
    <x v="14"/>
    <x v="0"/>
    <x v="0"/>
    <x v="4"/>
    <x v="9"/>
    <n v="11"/>
    <n v="2013"/>
    <x v="325"/>
    <x v="1"/>
    <n v="1650"/>
    <n v="22143"/>
    <n v="3993"/>
    <n v="18.032786885245901"/>
    <n v="18150"/>
  </r>
  <r>
    <x v="6"/>
    <x v="6"/>
    <x v="4"/>
    <x v="3"/>
    <x v="8"/>
    <x v="4"/>
    <n v="20"/>
    <n v="1083"/>
    <x v="326"/>
    <x v="0"/>
    <n v="950"/>
    <n v="21660"/>
    <n v="2660"/>
    <n v="12.280701754385964"/>
    <n v="19000"/>
  </r>
  <r>
    <x v="69"/>
    <x v="17"/>
    <x v="0"/>
    <x v="1"/>
    <x v="8"/>
    <x v="2"/>
    <n v="36"/>
    <n v="1559"/>
    <x v="327"/>
    <x v="0"/>
    <n v="1250"/>
    <n v="56124"/>
    <n v="11124"/>
    <n v="19.820397690827456"/>
    <n v="45000"/>
  </r>
  <r>
    <x v="8"/>
    <x v="8"/>
    <x v="4"/>
    <x v="3"/>
    <x v="0"/>
    <x v="2"/>
    <n v="6"/>
    <n v="1399"/>
    <x v="328"/>
    <x v="0"/>
    <n v="1150"/>
    <n v="8394"/>
    <n v="1494"/>
    <n v="17.798427448177272"/>
    <n v="6900"/>
  </r>
  <r>
    <x v="42"/>
    <x v="13"/>
    <x v="4"/>
    <x v="0"/>
    <x v="9"/>
    <x v="0"/>
    <n v="40"/>
    <n v="1977"/>
    <x v="329"/>
    <x v="0"/>
    <n v="1150"/>
    <n v="79080"/>
    <n v="33080"/>
    <n v="41.831057157309054"/>
    <n v="46000"/>
  </r>
  <r>
    <x v="2"/>
    <x v="2"/>
    <x v="2"/>
    <x v="7"/>
    <x v="5"/>
    <x v="3"/>
    <n v="40"/>
    <n v="1281"/>
    <x v="330"/>
    <x v="1"/>
    <n v="1100"/>
    <n v="51240"/>
    <n v="7240"/>
    <n v="14.129586260733801"/>
    <n v="44000"/>
  </r>
  <r>
    <x v="80"/>
    <x v="30"/>
    <x v="4"/>
    <x v="0"/>
    <x v="8"/>
    <x v="2"/>
    <n v="14"/>
    <n v="2391"/>
    <x v="331"/>
    <x v="1"/>
    <n v="1600"/>
    <n v="33474"/>
    <n v="11074"/>
    <n v="33.082392304475114"/>
    <n v="22400"/>
  </r>
  <r>
    <x v="50"/>
    <x v="0"/>
    <x v="1"/>
    <x v="1"/>
    <x v="8"/>
    <x v="8"/>
    <n v="25"/>
    <n v="1764"/>
    <x v="332"/>
    <x v="0"/>
    <n v="1400"/>
    <n v="44100"/>
    <n v="9100"/>
    <n v="20.634920634920633"/>
    <n v="35000"/>
  </r>
  <r>
    <x v="59"/>
    <x v="0"/>
    <x v="1"/>
    <x v="3"/>
    <x v="2"/>
    <x v="1"/>
    <n v="37"/>
    <n v="2958"/>
    <x v="333"/>
    <x v="0"/>
    <n v="1750"/>
    <n v="109446"/>
    <n v="44696"/>
    <n v="40.838404327248142"/>
    <n v="64750"/>
  </r>
  <r>
    <x v="35"/>
    <x v="24"/>
    <x v="2"/>
    <x v="6"/>
    <x v="3"/>
    <x v="7"/>
    <n v="40"/>
    <n v="659"/>
    <x v="334"/>
    <x v="0"/>
    <n v="400"/>
    <n v="26360"/>
    <n v="10360"/>
    <n v="39.301972685887712"/>
    <n v="16000"/>
  </r>
  <r>
    <x v="54"/>
    <x v="18"/>
    <x v="0"/>
    <x v="6"/>
    <x v="1"/>
    <x v="3"/>
    <n v="28"/>
    <n v="1274"/>
    <x v="335"/>
    <x v="0"/>
    <n v="700"/>
    <n v="35672"/>
    <n v="16072"/>
    <n v="45.054945054945058"/>
    <n v="19600"/>
  </r>
  <r>
    <x v="45"/>
    <x v="11"/>
    <x v="3"/>
    <x v="3"/>
    <x v="1"/>
    <x v="1"/>
    <n v="18"/>
    <n v="2929"/>
    <x v="336"/>
    <x v="1"/>
    <n v="1950"/>
    <n v="52722"/>
    <n v="17622"/>
    <n v="33.424376920450669"/>
    <n v="35100"/>
  </r>
  <r>
    <x v="70"/>
    <x v="21"/>
    <x v="2"/>
    <x v="0"/>
    <x v="4"/>
    <x v="9"/>
    <n v="40"/>
    <n v="2719"/>
    <x v="337"/>
    <x v="1"/>
    <n v="1350"/>
    <n v="108760"/>
    <n v="54760"/>
    <n v="50.349393159249722"/>
    <n v="54000"/>
  </r>
  <r>
    <x v="49"/>
    <x v="6"/>
    <x v="3"/>
    <x v="7"/>
    <x v="7"/>
    <x v="5"/>
    <n v="34"/>
    <n v="616"/>
    <x v="338"/>
    <x v="1"/>
    <n v="550"/>
    <n v="20944"/>
    <n v="2244"/>
    <n v="10.714285714285714"/>
    <n v="18700"/>
  </r>
  <r>
    <x v="63"/>
    <x v="28"/>
    <x v="3"/>
    <x v="6"/>
    <x v="3"/>
    <x v="1"/>
    <n v="38"/>
    <n v="2728"/>
    <x v="339"/>
    <x v="1"/>
    <n v="1800"/>
    <n v="103664"/>
    <n v="35264"/>
    <n v="34.017595307917887"/>
    <n v="68400"/>
  </r>
  <r>
    <x v="43"/>
    <x v="11"/>
    <x v="2"/>
    <x v="6"/>
    <x v="8"/>
    <x v="7"/>
    <n v="50"/>
    <n v="1766"/>
    <x v="340"/>
    <x v="1"/>
    <n v="1100"/>
    <n v="88300"/>
    <n v="33300"/>
    <n v="37.712344280860705"/>
    <n v="55000"/>
  </r>
  <r>
    <x v="62"/>
    <x v="20"/>
    <x v="3"/>
    <x v="5"/>
    <x v="6"/>
    <x v="3"/>
    <n v="34"/>
    <n v="647"/>
    <x v="341"/>
    <x v="1"/>
    <n v="450"/>
    <n v="21998"/>
    <n v="6698"/>
    <n v="30.448222565687789"/>
    <n v="15300"/>
  </r>
  <r>
    <x v="3"/>
    <x v="3"/>
    <x v="3"/>
    <x v="0"/>
    <x v="3"/>
    <x v="5"/>
    <n v="32"/>
    <n v="2800"/>
    <x v="342"/>
    <x v="0"/>
    <n v="1950"/>
    <n v="89600"/>
    <n v="27200"/>
    <n v="30.357142857142854"/>
    <n v="62400"/>
  </r>
  <r>
    <x v="12"/>
    <x v="10"/>
    <x v="2"/>
    <x v="1"/>
    <x v="7"/>
    <x v="8"/>
    <n v="15"/>
    <n v="2895"/>
    <x v="343"/>
    <x v="0"/>
    <n v="1500"/>
    <n v="43425"/>
    <n v="20925"/>
    <n v="48.186528497409327"/>
    <n v="22500"/>
  </r>
  <r>
    <x v="28"/>
    <x v="20"/>
    <x v="0"/>
    <x v="6"/>
    <x v="2"/>
    <x v="9"/>
    <n v="22"/>
    <n v="2091"/>
    <x v="344"/>
    <x v="1"/>
    <n v="1600"/>
    <n v="46002"/>
    <n v="10802"/>
    <n v="23.48158775705404"/>
    <n v="35200"/>
  </r>
  <r>
    <x v="22"/>
    <x v="17"/>
    <x v="3"/>
    <x v="5"/>
    <x v="0"/>
    <x v="9"/>
    <n v="19"/>
    <n v="2189"/>
    <x v="345"/>
    <x v="0"/>
    <n v="1700"/>
    <n v="41591"/>
    <n v="9291"/>
    <n v="22.338967565098219"/>
    <n v="32300"/>
  </r>
  <r>
    <x v="86"/>
    <x v="28"/>
    <x v="1"/>
    <x v="4"/>
    <x v="2"/>
    <x v="3"/>
    <n v="38"/>
    <n v="309"/>
    <x v="346"/>
    <x v="1"/>
    <n v="250"/>
    <n v="11742"/>
    <n v="2242"/>
    <n v="19.093851132686083"/>
    <n v="9500"/>
  </r>
  <r>
    <x v="81"/>
    <x v="13"/>
    <x v="1"/>
    <x v="0"/>
    <x v="0"/>
    <x v="5"/>
    <n v="24"/>
    <n v="1297"/>
    <x v="347"/>
    <x v="1"/>
    <n v="950"/>
    <n v="31128"/>
    <n v="8328"/>
    <n v="26.754047802621432"/>
    <n v="22800"/>
  </r>
  <r>
    <x v="2"/>
    <x v="2"/>
    <x v="0"/>
    <x v="2"/>
    <x v="1"/>
    <x v="0"/>
    <n v="49"/>
    <n v="2492"/>
    <x v="348"/>
    <x v="1"/>
    <n v="2150"/>
    <n v="122108"/>
    <n v="16758"/>
    <n v="13.723916532905298"/>
    <n v="105350"/>
  </r>
  <r>
    <x v="65"/>
    <x v="25"/>
    <x v="0"/>
    <x v="4"/>
    <x v="2"/>
    <x v="4"/>
    <n v="35"/>
    <n v="2450"/>
    <x v="349"/>
    <x v="0"/>
    <n v="1600"/>
    <n v="85750"/>
    <n v="29750"/>
    <n v="34.693877551020407"/>
    <n v="56000"/>
  </r>
  <r>
    <x v="87"/>
    <x v="30"/>
    <x v="4"/>
    <x v="6"/>
    <x v="3"/>
    <x v="1"/>
    <n v="12"/>
    <n v="832"/>
    <x v="350"/>
    <x v="0"/>
    <n v="500"/>
    <n v="9984"/>
    <n v="3984"/>
    <n v="39.903846153846153"/>
    <n v="6000"/>
  </r>
  <r>
    <x v="70"/>
    <x v="21"/>
    <x v="3"/>
    <x v="2"/>
    <x v="5"/>
    <x v="6"/>
    <n v="24"/>
    <n v="2516"/>
    <x v="351"/>
    <x v="1"/>
    <n v="1950"/>
    <n v="60384"/>
    <n v="13584"/>
    <n v="22.496025437201908"/>
    <n v="46800"/>
  </r>
  <r>
    <x v="84"/>
    <x v="2"/>
    <x v="0"/>
    <x v="7"/>
    <x v="6"/>
    <x v="5"/>
    <n v="43"/>
    <n v="2655"/>
    <x v="352"/>
    <x v="1"/>
    <n v="1750"/>
    <n v="114165"/>
    <n v="38915"/>
    <n v="34.086629001883239"/>
    <n v="75250"/>
  </r>
  <r>
    <x v="54"/>
    <x v="18"/>
    <x v="1"/>
    <x v="5"/>
    <x v="7"/>
    <x v="9"/>
    <n v="12"/>
    <n v="1300"/>
    <x v="353"/>
    <x v="1"/>
    <n v="750"/>
    <n v="15600"/>
    <n v="6600"/>
    <n v="42.307692307692307"/>
    <n v="9000"/>
  </r>
  <r>
    <x v="20"/>
    <x v="15"/>
    <x v="4"/>
    <x v="6"/>
    <x v="1"/>
    <x v="6"/>
    <n v="17"/>
    <n v="921"/>
    <x v="354"/>
    <x v="1"/>
    <n v="650"/>
    <n v="15657"/>
    <n v="4607"/>
    <n v="29.424538545059718"/>
    <n v="11050"/>
  </r>
  <r>
    <x v="50"/>
    <x v="0"/>
    <x v="3"/>
    <x v="7"/>
    <x v="7"/>
    <x v="8"/>
    <n v="27"/>
    <n v="2433"/>
    <x v="355"/>
    <x v="1"/>
    <n v="1800"/>
    <n v="65691"/>
    <n v="17091"/>
    <n v="26.017262638717632"/>
    <n v="48600"/>
  </r>
  <r>
    <x v="15"/>
    <x v="9"/>
    <x v="4"/>
    <x v="2"/>
    <x v="5"/>
    <x v="8"/>
    <n v="5"/>
    <n v="1365"/>
    <x v="356"/>
    <x v="0"/>
    <n v="850"/>
    <n v="6825"/>
    <n v="2575"/>
    <n v="37.72893772893773"/>
    <n v="4250"/>
  </r>
  <r>
    <x v="73"/>
    <x v="4"/>
    <x v="2"/>
    <x v="7"/>
    <x v="9"/>
    <x v="2"/>
    <n v="38"/>
    <n v="516"/>
    <x v="357"/>
    <x v="1"/>
    <n v="450"/>
    <n v="19608"/>
    <n v="2508"/>
    <n v="12.790697674418606"/>
    <n v="17100"/>
  </r>
  <r>
    <x v="40"/>
    <x v="25"/>
    <x v="4"/>
    <x v="0"/>
    <x v="4"/>
    <x v="0"/>
    <n v="7"/>
    <n v="2651"/>
    <x v="358"/>
    <x v="0"/>
    <n v="2050"/>
    <n v="18557"/>
    <n v="4207"/>
    <n v="22.670690305545076"/>
    <n v="14350"/>
  </r>
  <r>
    <x v="22"/>
    <x v="17"/>
    <x v="1"/>
    <x v="7"/>
    <x v="1"/>
    <x v="5"/>
    <n v="50"/>
    <n v="659"/>
    <x v="359"/>
    <x v="0"/>
    <n v="400"/>
    <n v="32950"/>
    <n v="12950"/>
    <n v="39.301972685887712"/>
    <n v="20000"/>
  </r>
  <r>
    <x v="29"/>
    <x v="21"/>
    <x v="1"/>
    <x v="7"/>
    <x v="8"/>
    <x v="9"/>
    <n v="8"/>
    <n v="2328"/>
    <x v="360"/>
    <x v="1"/>
    <n v="1650"/>
    <n v="18624"/>
    <n v="5424"/>
    <n v="29.123711340206189"/>
    <n v="13200"/>
  </r>
  <r>
    <x v="16"/>
    <x v="7"/>
    <x v="2"/>
    <x v="0"/>
    <x v="6"/>
    <x v="4"/>
    <n v="41"/>
    <n v="1898"/>
    <x v="361"/>
    <x v="1"/>
    <n v="1450"/>
    <n v="77818"/>
    <n v="18368"/>
    <n v="23.603793466807165"/>
    <n v="59450"/>
  </r>
  <r>
    <x v="41"/>
    <x v="16"/>
    <x v="2"/>
    <x v="2"/>
    <x v="1"/>
    <x v="4"/>
    <n v="19"/>
    <n v="1426"/>
    <x v="362"/>
    <x v="1"/>
    <n v="800"/>
    <n v="27094"/>
    <n v="11894"/>
    <n v="43.899018232819074"/>
    <n v="15200"/>
  </r>
  <r>
    <x v="67"/>
    <x v="30"/>
    <x v="4"/>
    <x v="0"/>
    <x v="2"/>
    <x v="0"/>
    <n v="30"/>
    <n v="675"/>
    <x v="363"/>
    <x v="1"/>
    <n v="500"/>
    <n v="20250"/>
    <n v="5250"/>
    <n v="25.925925925925924"/>
    <n v="15000"/>
  </r>
  <r>
    <x v="35"/>
    <x v="24"/>
    <x v="1"/>
    <x v="2"/>
    <x v="4"/>
    <x v="4"/>
    <n v="10"/>
    <n v="1131"/>
    <x v="364"/>
    <x v="1"/>
    <n v="650"/>
    <n v="11310"/>
    <n v="4810"/>
    <n v="42.528735632183903"/>
    <n v="6500"/>
  </r>
  <r>
    <x v="86"/>
    <x v="28"/>
    <x v="1"/>
    <x v="2"/>
    <x v="4"/>
    <x v="1"/>
    <n v="13"/>
    <n v="1390"/>
    <x v="365"/>
    <x v="1"/>
    <n v="1150"/>
    <n v="18070"/>
    <n v="3120"/>
    <n v="17.266187050359711"/>
    <n v="14950"/>
  </r>
  <r>
    <x v="61"/>
    <x v="23"/>
    <x v="4"/>
    <x v="5"/>
    <x v="5"/>
    <x v="6"/>
    <n v="16"/>
    <n v="1739"/>
    <x v="366"/>
    <x v="0"/>
    <n v="1050"/>
    <n v="27824"/>
    <n v="11024"/>
    <n v="39.620471535365155"/>
    <n v="16800"/>
  </r>
  <r>
    <x v="21"/>
    <x v="16"/>
    <x v="4"/>
    <x v="7"/>
    <x v="7"/>
    <x v="3"/>
    <n v="15"/>
    <n v="2197"/>
    <x v="367"/>
    <x v="0"/>
    <n v="1200"/>
    <n v="32955"/>
    <n v="14955"/>
    <n v="45.380063723258992"/>
    <n v="18000"/>
  </r>
  <r>
    <x v="42"/>
    <x v="13"/>
    <x v="2"/>
    <x v="7"/>
    <x v="2"/>
    <x v="2"/>
    <n v="43"/>
    <n v="1609"/>
    <x v="368"/>
    <x v="1"/>
    <n v="1100"/>
    <n v="69187"/>
    <n v="21887"/>
    <n v="31.634555624611561"/>
    <n v="47300"/>
  </r>
  <r>
    <x v="21"/>
    <x v="16"/>
    <x v="2"/>
    <x v="3"/>
    <x v="4"/>
    <x v="9"/>
    <n v="28"/>
    <n v="2006"/>
    <x v="369"/>
    <x v="0"/>
    <n v="1450"/>
    <n v="56168"/>
    <n v="15568"/>
    <n v="27.716849451645064"/>
    <n v="40600"/>
  </r>
  <r>
    <x v="7"/>
    <x v="7"/>
    <x v="0"/>
    <x v="1"/>
    <x v="1"/>
    <x v="2"/>
    <n v="20"/>
    <n v="2837"/>
    <x v="370"/>
    <x v="0"/>
    <n v="2400"/>
    <n v="56740"/>
    <n v="8740"/>
    <n v="15.403595347197744"/>
    <n v="48000"/>
  </r>
  <r>
    <x v="74"/>
    <x v="19"/>
    <x v="1"/>
    <x v="0"/>
    <x v="1"/>
    <x v="9"/>
    <n v="37"/>
    <n v="2094"/>
    <x v="371"/>
    <x v="1"/>
    <n v="1150"/>
    <n v="77478"/>
    <n v="34928"/>
    <n v="45.081184336198667"/>
    <n v="42550"/>
  </r>
  <r>
    <x v="20"/>
    <x v="15"/>
    <x v="2"/>
    <x v="7"/>
    <x v="8"/>
    <x v="1"/>
    <n v="30"/>
    <n v="1579"/>
    <x v="372"/>
    <x v="1"/>
    <n v="1200"/>
    <n v="47370"/>
    <n v="11370"/>
    <n v="24.002533248891702"/>
    <n v="36000"/>
  </r>
  <r>
    <x v="68"/>
    <x v="27"/>
    <x v="4"/>
    <x v="1"/>
    <x v="4"/>
    <x v="5"/>
    <n v="13"/>
    <n v="1521"/>
    <x v="373"/>
    <x v="0"/>
    <n v="1000"/>
    <n v="19773"/>
    <n v="6773"/>
    <n v="34.253780407626557"/>
    <n v="13000"/>
  </r>
  <r>
    <x v="88"/>
    <x v="5"/>
    <x v="1"/>
    <x v="4"/>
    <x v="9"/>
    <x v="5"/>
    <n v="29"/>
    <n v="2884"/>
    <x v="374"/>
    <x v="1"/>
    <n v="2500"/>
    <n v="83636"/>
    <n v="11136"/>
    <n v="13.314840499306518"/>
    <n v="72500"/>
  </r>
  <r>
    <x v="18"/>
    <x v="14"/>
    <x v="1"/>
    <x v="1"/>
    <x v="0"/>
    <x v="1"/>
    <n v="34"/>
    <n v="1518"/>
    <x v="375"/>
    <x v="1"/>
    <n v="1100"/>
    <n v="51612"/>
    <n v="14212"/>
    <n v="27.536231884057973"/>
    <n v="37400"/>
  </r>
  <r>
    <x v="54"/>
    <x v="18"/>
    <x v="4"/>
    <x v="6"/>
    <x v="9"/>
    <x v="5"/>
    <n v="19"/>
    <n v="2210"/>
    <x v="376"/>
    <x v="0"/>
    <n v="1550"/>
    <n v="41990"/>
    <n v="12540"/>
    <n v="29.864253393665159"/>
    <n v="29450"/>
  </r>
  <r>
    <x v="19"/>
    <x v="10"/>
    <x v="1"/>
    <x v="7"/>
    <x v="2"/>
    <x v="5"/>
    <n v="38"/>
    <n v="1111"/>
    <x v="377"/>
    <x v="0"/>
    <n v="700"/>
    <n v="42218"/>
    <n v="15618"/>
    <n v="36.993699369936991"/>
    <n v="26600"/>
  </r>
  <r>
    <x v="47"/>
    <x v="14"/>
    <x v="1"/>
    <x v="2"/>
    <x v="4"/>
    <x v="6"/>
    <n v="46"/>
    <n v="2840"/>
    <x v="378"/>
    <x v="0"/>
    <n v="2200"/>
    <n v="130640"/>
    <n v="29440"/>
    <n v="22.535211267605636"/>
    <n v="101200"/>
  </r>
  <r>
    <x v="85"/>
    <x v="29"/>
    <x v="2"/>
    <x v="1"/>
    <x v="4"/>
    <x v="4"/>
    <n v="43"/>
    <n v="2587"/>
    <x v="379"/>
    <x v="0"/>
    <n v="1500"/>
    <n v="111241"/>
    <n v="46741"/>
    <n v="42.017781213761111"/>
    <n v="64500"/>
  </r>
  <r>
    <x v="25"/>
    <x v="8"/>
    <x v="0"/>
    <x v="1"/>
    <x v="3"/>
    <x v="5"/>
    <n v="38"/>
    <n v="2488"/>
    <x v="380"/>
    <x v="0"/>
    <n v="1950"/>
    <n v="94544"/>
    <n v="20444"/>
    <n v="21.623794212218648"/>
    <n v="74100"/>
  </r>
  <r>
    <x v="4"/>
    <x v="4"/>
    <x v="2"/>
    <x v="7"/>
    <x v="1"/>
    <x v="3"/>
    <n v="27"/>
    <n v="777"/>
    <x v="381"/>
    <x v="0"/>
    <n v="400"/>
    <n v="20979"/>
    <n v="10179"/>
    <n v="48.519948519948521"/>
    <n v="10800"/>
  </r>
  <r>
    <x v="83"/>
    <x v="2"/>
    <x v="1"/>
    <x v="3"/>
    <x v="2"/>
    <x v="7"/>
    <n v="33"/>
    <n v="773"/>
    <x v="382"/>
    <x v="0"/>
    <n v="550"/>
    <n v="25509"/>
    <n v="7359"/>
    <n v="28.848641655886158"/>
    <n v="18150"/>
  </r>
  <r>
    <x v="34"/>
    <x v="12"/>
    <x v="2"/>
    <x v="3"/>
    <x v="8"/>
    <x v="0"/>
    <n v="36"/>
    <n v="2255"/>
    <x v="383"/>
    <x v="0"/>
    <n v="1150"/>
    <n v="81180"/>
    <n v="39780"/>
    <n v="49.002217294900227"/>
    <n v="41400"/>
  </r>
  <r>
    <x v="45"/>
    <x v="11"/>
    <x v="0"/>
    <x v="5"/>
    <x v="9"/>
    <x v="3"/>
    <n v="44"/>
    <n v="694"/>
    <x v="384"/>
    <x v="1"/>
    <n v="500"/>
    <n v="30536"/>
    <n v="8536"/>
    <n v="27.953890489913547"/>
    <n v="22000"/>
  </r>
  <r>
    <x v="80"/>
    <x v="30"/>
    <x v="1"/>
    <x v="6"/>
    <x v="7"/>
    <x v="9"/>
    <n v="20"/>
    <n v="2284"/>
    <x v="385"/>
    <x v="1"/>
    <n v="1950"/>
    <n v="45680"/>
    <n v="6680"/>
    <n v="14.623467600700527"/>
    <n v="39000"/>
  </r>
  <r>
    <x v="62"/>
    <x v="20"/>
    <x v="1"/>
    <x v="5"/>
    <x v="4"/>
    <x v="6"/>
    <n v="25"/>
    <n v="1794"/>
    <x v="386"/>
    <x v="0"/>
    <n v="1400"/>
    <n v="44850"/>
    <n v="9850"/>
    <n v="21.962095875139354"/>
    <n v="35000"/>
  </r>
  <r>
    <x v="6"/>
    <x v="6"/>
    <x v="1"/>
    <x v="5"/>
    <x v="1"/>
    <x v="1"/>
    <n v="27"/>
    <n v="388"/>
    <x v="387"/>
    <x v="1"/>
    <n v="300"/>
    <n v="10476"/>
    <n v="2376"/>
    <n v="22.680412371134022"/>
    <n v="8100"/>
  </r>
  <r>
    <x v="67"/>
    <x v="30"/>
    <x v="4"/>
    <x v="5"/>
    <x v="2"/>
    <x v="9"/>
    <n v="49"/>
    <n v="2122"/>
    <x v="388"/>
    <x v="0"/>
    <n v="1600"/>
    <n v="103978"/>
    <n v="25578"/>
    <n v="24.599434495758718"/>
    <n v="78400"/>
  </r>
  <r>
    <x v="21"/>
    <x v="16"/>
    <x v="3"/>
    <x v="7"/>
    <x v="8"/>
    <x v="2"/>
    <n v="25"/>
    <n v="2442"/>
    <x v="389"/>
    <x v="1"/>
    <n v="1750"/>
    <n v="61050"/>
    <n v="17300"/>
    <n v="28.337428337428339"/>
    <n v="43750"/>
  </r>
  <r>
    <x v="62"/>
    <x v="20"/>
    <x v="3"/>
    <x v="7"/>
    <x v="2"/>
    <x v="3"/>
    <n v="45"/>
    <n v="438"/>
    <x v="390"/>
    <x v="1"/>
    <n v="300"/>
    <n v="19710"/>
    <n v="6210"/>
    <n v="31.506849315068493"/>
    <n v="13500"/>
  </r>
  <r>
    <x v="47"/>
    <x v="14"/>
    <x v="4"/>
    <x v="1"/>
    <x v="7"/>
    <x v="6"/>
    <n v="14"/>
    <n v="831"/>
    <x v="391"/>
    <x v="1"/>
    <n v="650"/>
    <n v="11634"/>
    <n v="2534"/>
    <n v="21.780986762936223"/>
    <n v="9100"/>
  </r>
  <r>
    <x v="60"/>
    <x v="17"/>
    <x v="0"/>
    <x v="2"/>
    <x v="3"/>
    <x v="5"/>
    <n v="29"/>
    <n v="2853"/>
    <x v="392"/>
    <x v="0"/>
    <n v="1900"/>
    <n v="82737"/>
    <n v="27637"/>
    <n v="33.403434980722047"/>
    <n v="55100"/>
  </r>
  <r>
    <x v="1"/>
    <x v="1"/>
    <x v="4"/>
    <x v="3"/>
    <x v="6"/>
    <x v="9"/>
    <n v="10"/>
    <n v="2876"/>
    <x v="393"/>
    <x v="0"/>
    <n v="1800"/>
    <n v="28760"/>
    <n v="10760"/>
    <n v="37.413073713490959"/>
    <n v="18000"/>
  </r>
  <r>
    <x v="90"/>
    <x v="3"/>
    <x v="2"/>
    <x v="1"/>
    <x v="9"/>
    <x v="1"/>
    <n v="49"/>
    <n v="1194"/>
    <x v="394"/>
    <x v="1"/>
    <n v="1050"/>
    <n v="58506"/>
    <n v="7056"/>
    <n v="12.060301507537687"/>
    <n v="51450"/>
  </r>
  <r>
    <x v="88"/>
    <x v="5"/>
    <x v="0"/>
    <x v="2"/>
    <x v="3"/>
    <x v="8"/>
    <n v="35"/>
    <n v="872"/>
    <x v="395"/>
    <x v="0"/>
    <n v="450"/>
    <n v="30520"/>
    <n v="14770"/>
    <n v="48.394495412844037"/>
    <n v="15750"/>
  </r>
  <r>
    <x v="69"/>
    <x v="17"/>
    <x v="2"/>
    <x v="5"/>
    <x v="1"/>
    <x v="3"/>
    <n v="32"/>
    <n v="1030"/>
    <x v="396"/>
    <x v="0"/>
    <n v="650"/>
    <n v="32960"/>
    <n v="12160"/>
    <n v="36.893203883495147"/>
    <n v="20800"/>
  </r>
  <r>
    <x v="52"/>
    <x v="27"/>
    <x v="0"/>
    <x v="6"/>
    <x v="3"/>
    <x v="0"/>
    <n v="11"/>
    <n v="970"/>
    <x v="397"/>
    <x v="0"/>
    <n v="700"/>
    <n v="10670"/>
    <n v="2970"/>
    <n v="27.835051546391753"/>
    <n v="7700"/>
  </r>
  <r>
    <x v="67"/>
    <x v="30"/>
    <x v="0"/>
    <x v="6"/>
    <x v="4"/>
    <x v="5"/>
    <n v="14"/>
    <n v="2199"/>
    <x v="398"/>
    <x v="1"/>
    <n v="1400"/>
    <n v="30786"/>
    <n v="11186"/>
    <n v="36.334697589813551"/>
    <n v="19600"/>
  </r>
  <r>
    <x v="20"/>
    <x v="15"/>
    <x v="3"/>
    <x v="0"/>
    <x v="4"/>
    <x v="5"/>
    <n v="17"/>
    <n v="484"/>
    <x v="399"/>
    <x v="0"/>
    <n v="350"/>
    <n v="8228"/>
    <n v="2278"/>
    <n v="27.685950413223143"/>
    <n v="5950"/>
  </r>
  <r>
    <x v="72"/>
    <x v="22"/>
    <x v="2"/>
    <x v="5"/>
    <x v="2"/>
    <x v="8"/>
    <n v="24"/>
    <n v="675"/>
    <x v="400"/>
    <x v="1"/>
    <n v="550"/>
    <n v="16200"/>
    <n v="3000"/>
    <n v="18.518518518518519"/>
    <n v="13200"/>
  </r>
  <r>
    <x v="20"/>
    <x v="15"/>
    <x v="4"/>
    <x v="5"/>
    <x v="1"/>
    <x v="5"/>
    <n v="36"/>
    <n v="2757"/>
    <x v="401"/>
    <x v="1"/>
    <n v="1900"/>
    <n v="99252"/>
    <n v="30852"/>
    <n v="31.084512150888649"/>
    <n v="68400"/>
  </r>
  <r>
    <x v="20"/>
    <x v="15"/>
    <x v="0"/>
    <x v="0"/>
    <x v="9"/>
    <x v="8"/>
    <n v="43"/>
    <n v="1676"/>
    <x v="402"/>
    <x v="1"/>
    <n v="1250"/>
    <n v="72068"/>
    <n v="18318"/>
    <n v="25.417661097852029"/>
    <n v="53750"/>
  </r>
  <r>
    <x v="27"/>
    <x v="1"/>
    <x v="0"/>
    <x v="6"/>
    <x v="2"/>
    <x v="9"/>
    <n v="10"/>
    <n v="2720"/>
    <x v="403"/>
    <x v="1"/>
    <n v="1800"/>
    <n v="27200"/>
    <n v="9200"/>
    <n v="33.82352941176471"/>
    <n v="18000"/>
  </r>
  <r>
    <x v="50"/>
    <x v="0"/>
    <x v="1"/>
    <x v="6"/>
    <x v="0"/>
    <x v="0"/>
    <n v="15"/>
    <n v="1212"/>
    <x v="404"/>
    <x v="0"/>
    <n v="1050"/>
    <n v="18180"/>
    <n v="2430"/>
    <n v="13.366336633663368"/>
    <n v="15750"/>
  </r>
  <r>
    <x v="64"/>
    <x v="23"/>
    <x v="2"/>
    <x v="6"/>
    <x v="0"/>
    <x v="0"/>
    <n v="5"/>
    <n v="1863"/>
    <x v="405"/>
    <x v="0"/>
    <n v="1400"/>
    <n v="9315"/>
    <n v="2315"/>
    <n v="24.852388620504563"/>
    <n v="7000"/>
  </r>
  <r>
    <x v="20"/>
    <x v="15"/>
    <x v="0"/>
    <x v="6"/>
    <x v="8"/>
    <x v="6"/>
    <n v="18"/>
    <n v="2785"/>
    <x v="406"/>
    <x v="1"/>
    <n v="1550"/>
    <n v="50130"/>
    <n v="22230"/>
    <n v="44.344703770197484"/>
    <n v="27900"/>
  </r>
  <r>
    <x v="69"/>
    <x v="17"/>
    <x v="2"/>
    <x v="3"/>
    <x v="2"/>
    <x v="4"/>
    <n v="41"/>
    <n v="419"/>
    <x v="407"/>
    <x v="0"/>
    <n v="350"/>
    <n v="17179"/>
    <n v="2829"/>
    <n v="16.467780429594274"/>
    <n v="14350"/>
  </r>
  <r>
    <x v="1"/>
    <x v="1"/>
    <x v="2"/>
    <x v="0"/>
    <x v="0"/>
    <x v="3"/>
    <n v="29"/>
    <n v="2204"/>
    <x v="408"/>
    <x v="0"/>
    <n v="1200"/>
    <n v="63916"/>
    <n v="29116"/>
    <n v="45.553539019963701"/>
    <n v="34800"/>
  </r>
  <r>
    <x v="75"/>
    <x v="4"/>
    <x v="1"/>
    <x v="2"/>
    <x v="5"/>
    <x v="2"/>
    <n v="25"/>
    <n v="2598"/>
    <x v="409"/>
    <x v="0"/>
    <n v="2000"/>
    <n v="64950"/>
    <n v="14950"/>
    <n v="23.017705927636644"/>
    <n v="50000"/>
  </r>
  <r>
    <x v="34"/>
    <x v="12"/>
    <x v="2"/>
    <x v="4"/>
    <x v="5"/>
    <x v="8"/>
    <n v="15"/>
    <n v="1110"/>
    <x v="410"/>
    <x v="0"/>
    <n v="750"/>
    <n v="16650"/>
    <n v="5400"/>
    <n v="32.432432432432435"/>
    <n v="11250"/>
  </r>
  <r>
    <x v="77"/>
    <x v="6"/>
    <x v="4"/>
    <x v="6"/>
    <x v="4"/>
    <x v="6"/>
    <n v="26"/>
    <n v="1591"/>
    <x v="411"/>
    <x v="1"/>
    <n v="1300"/>
    <n v="41366"/>
    <n v="7566"/>
    <n v="18.290383406662478"/>
    <n v="33800"/>
  </r>
  <r>
    <x v="6"/>
    <x v="6"/>
    <x v="4"/>
    <x v="7"/>
    <x v="6"/>
    <x v="7"/>
    <n v="27"/>
    <n v="1774"/>
    <x v="412"/>
    <x v="0"/>
    <n v="1150"/>
    <n v="47898"/>
    <n v="16848"/>
    <n v="35.174746335963924"/>
    <n v="31050"/>
  </r>
  <r>
    <x v="18"/>
    <x v="14"/>
    <x v="0"/>
    <x v="7"/>
    <x v="9"/>
    <x v="5"/>
    <n v="46"/>
    <n v="1332"/>
    <x v="413"/>
    <x v="0"/>
    <n v="850"/>
    <n v="61272"/>
    <n v="22172"/>
    <n v="36.186186186186184"/>
    <n v="39100"/>
  </r>
  <r>
    <x v="6"/>
    <x v="6"/>
    <x v="1"/>
    <x v="7"/>
    <x v="7"/>
    <x v="7"/>
    <n v="36"/>
    <n v="1955"/>
    <x v="414"/>
    <x v="1"/>
    <n v="1600"/>
    <n v="70380"/>
    <n v="12780"/>
    <n v="18.15856777493606"/>
    <n v="57600"/>
  </r>
  <r>
    <x v="90"/>
    <x v="3"/>
    <x v="3"/>
    <x v="4"/>
    <x v="6"/>
    <x v="8"/>
    <n v="29"/>
    <n v="1809"/>
    <x v="415"/>
    <x v="0"/>
    <n v="900"/>
    <n v="52461"/>
    <n v="26361"/>
    <n v="50.248756218905477"/>
    <n v="26100"/>
  </r>
  <r>
    <x v="58"/>
    <x v="18"/>
    <x v="2"/>
    <x v="4"/>
    <x v="0"/>
    <x v="7"/>
    <n v="43"/>
    <n v="1770"/>
    <x v="416"/>
    <x v="1"/>
    <n v="1200"/>
    <n v="76110"/>
    <n v="24510"/>
    <n v="32.20338983050847"/>
    <n v="51600"/>
  </r>
  <r>
    <x v="42"/>
    <x v="13"/>
    <x v="2"/>
    <x v="0"/>
    <x v="2"/>
    <x v="3"/>
    <n v="10"/>
    <n v="2745"/>
    <x v="417"/>
    <x v="1"/>
    <n v="1750"/>
    <n v="27450"/>
    <n v="9950"/>
    <n v="36.247723132969035"/>
    <n v="17500"/>
  </r>
  <r>
    <x v="71"/>
    <x v="29"/>
    <x v="4"/>
    <x v="7"/>
    <x v="3"/>
    <x v="7"/>
    <n v="38"/>
    <n v="2896"/>
    <x v="418"/>
    <x v="1"/>
    <n v="2600"/>
    <n v="110048"/>
    <n v="11248"/>
    <n v="10.220994475138122"/>
    <n v="98800"/>
  </r>
  <r>
    <x v="30"/>
    <x v="15"/>
    <x v="0"/>
    <x v="7"/>
    <x v="5"/>
    <x v="5"/>
    <n v="39"/>
    <n v="2951"/>
    <x v="419"/>
    <x v="1"/>
    <n v="2300"/>
    <n v="115089"/>
    <n v="25389"/>
    <n v="22.060318536089461"/>
    <n v="89700"/>
  </r>
  <r>
    <x v="77"/>
    <x v="6"/>
    <x v="4"/>
    <x v="4"/>
    <x v="3"/>
    <x v="4"/>
    <n v="6"/>
    <n v="1745"/>
    <x v="420"/>
    <x v="1"/>
    <n v="1200"/>
    <n v="10470"/>
    <n v="3270"/>
    <n v="31.232091690544411"/>
    <n v="7200"/>
  </r>
  <r>
    <x v="7"/>
    <x v="7"/>
    <x v="1"/>
    <x v="7"/>
    <x v="0"/>
    <x v="7"/>
    <n v="48"/>
    <n v="1451"/>
    <x v="421"/>
    <x v="1"/>
    <n v="950"/>
    <n v="69648"/>
    <n v="24048"/>
    <n v="34.527911784975878"/>
    <n v="45600"/>
  </r>
  <r>
    <x v="8"/>
    <x v="8"/>
    <x v="2"/>
    <x v="1"/>
    <x v="5"/>
    <x v="4"/>
    <n v="41"/>
    <n v="769"/>
    <x v="422"/>
    <x v="1"/>
    <n v="600"/>
    <n v="31529"/>
    <n v="6929"/>
    <n v="21.976592977893368"/>
    <n v="24600"/>
  </r>
  <r>
    <x v="48"/>
    <x v="26"/>
    <x v="2"/>
    <x v="2"/>
    <x v="9"/>
    <x v="1"/>
    <n v="21"/>
    <n v="2082"/>
    <x v="423"/>
    <x v="1"/>
    <n v="1800"/>
    <n v="43722"/>
    <n v="5922"/>
    <n v="13.544668587896252"/>
    <n v="37800"/>
  </r>
  <r>
    <x v="44"/>
    <x v="25"/>
    <x v="4"/>
    <x v="5"/>
    <x v="1"/>
    <x v="9"/>
    <n v="8"/>
    <n v="1917"/>
    <x v="424"/>
    <x v="1"/>
    <n v="1500"/>
    <n v="15336"/>
    <n v="3336"/>
    <n v="21.752738654147105"/>
    <n v="12000"/>
  </r>
  <r>
    <x v="23"/>
    <x v="18"/>
    <x v="3"/>
    <x v="3"/>
    <x v="9"/>
    <x v="7"/>
    <n v="21"/>
    <n v="662"/>
    <x v="425"/>
    <x v="1"/>
    <n v="350"/>
    <n v="13902"/>
    <n v="6552"/>
    <n v="47.129909365558916"/>
    <n v="7350"/>
  </r>
  <r>
    <x v="55"/>
    <x v="28"/>
    <x v="0"/>
    <x v="6"/>
    <x v="3"/>
    <x v="4"/>
    <n v="32"/>
    <n v="1283"/>
    <x v="426"/>
    <x v="0"/>
    <n v="1050"/>
    <n v="41056"/>
    <n v="7456"/>
    <n v="18.160561184723303"/>
    <n v="33600"/>
  </r>
  <r>
    <x v="2"/>
    <x v="2"/>
    <x v="1"/>
    <x v="4"/>
    <x v="9"/>
    <x v="5"/>
    <n v="41"/>
    <n v="2488"/>
    <x v="427"/>
    <x v="0"/>
    <n v="1900"/>
    <n v="102008"/>
    <n v="24108"/>
    <n v="23.633440514469452"/>
    <n v="77900"/>
  </r>
  <r>
    <x v="87"/>
    <x v="30"/>
    <x v="4"/>
    <x v="0"/>
    <x v="6"/>
    <x v="4"/>
    <n v="35"/>
    <n v="2055"/>
    <x v="428"/>
    <x v="1"/>
    <n v="1750"/>
    <n v="71925"/>
    <n v="10675"/>
    <n v="14.841849148418493"/>
    <n v="61250"/>
  </r>
  <r>
    <x v="14"/>
    <x v="12"/>
    <x v="0"/>
    <x v="2"/>
    <x v="7"/>
    <x v="0"/>
    <n v="35"/>
    <n v="1711"/>
    <x v="429"/>
    <x v="1"/>
    <n v="1300"/>
    <n v="59885"/>
    <n v="14385"/>
    <n v="24.021040327293981"/>
    <n v="45500"/>
  </r>
  <r>
    <x v="66"/>
    <x v="21"/>
    <x v="4"/>
    <x v="7"/>
    <x v="3"/>
    <x v="2"/>
    <n v="28"/>
    <n v="2068"/>
    <x v="430"/>
    <x v="1"/>
    <n v="1050"/>
    <n v="57904"/>
    <n v="28504"/>
    <n v="49.226305609284331"/>
    <n v="29400"/>
  </r>
  <r>
    <x v="68"/>
    <x v="27"/>
    <x v="3"/>
    <x v="4"/>
    <x v="3"/>
    <x v="8"/>
    <n v="35"/>
    <n v="1376"/>
    <x v="431"/>
    <x v="1"/>
    <n v="1100"/>
    <n v="48160"/>
    <n v="9660"/>
    <n v="20.058139534883722"/>
    <n v="38500"/>
  </r>
  <r>
    <x v="55"/>
    <x v="28"/>
    <x v="2"/>
    <x v="0"/>
    <x v="8"/>
    <x v="6"/>
    <n v="14"/>
    <n v="2743"/>
    <x v="432"/>
    <x v="1"/>
    <n v="1750"/>
    <n v="38402"/>
    <n v="13902"/>
    <n v="36.201239518775061"/>
    <n v="24500"/>
  </r>
  <r>
    <x v="0"/>
    <x v="0"/>
    <x v="3"/>
    <x v="6"/>
    <x v="6"/>
    <x v="4"/>
    <n v="33"/>
    <n v="1667"/>
    <x v="433"/>
    <x v="0"/>
    <n v="850"/>
    <n v="55011"/>
    <n v="26961"/>
    <n v="49.010197960407922"/>
    <n v="28050"/>
  </r>
  <r>
    <x v="49"/>
    <x v="6"/>
    <x v="0"/>
    <x v="5"/>
    <x v="6"/>
    <x v="1"/>
    <n v="21"/>
    <n v="412"/>
    <x v="434"/>
    <x v="1"/>
    <n v="350"/>
    <n v="8652"/>
    <n v="1302"/>
    <n v="15.048543689320388"/>
    <n v="7350"/>
  </r>
  <r>
    <x v="77"/>
    <x v="6"/>
    <x v="1"/>
    <x v="1"/>
    <x v="6"/>
    <x v="1"/>
    <n v="8"/>
    <n v="2980"/>
    <x v="435"/>
    <x v="0"/>
    <n v="1900"/>
    <n v="23840"/>
    <n v="8640"/>
    <n v="36.241610738255034"/>
    <n v="15200"/>
  </r>
  <r>
    <x v="32"/>
    <x v="19"/>
    <x v="1"/>
    <x v="3"/>
    <x v="2"/>
    <x v="5"/>
    <n v="25"/>
    <n v="376"/>
    <x v="436"/>
    <x v="1"/>
    <n v="200"/>
    <n v="9400"/>
    <n v="4400"/>
    <n v="46.808510638297875"/>
    <n v="5000"/>
  </r>
  <r>
    <x v="87"/>
    <x v="30"/>
    <x v="4"/>
    <x v="3"/>
    <x v="5"/>
    <x v="9"/>
    <n v="12"/>
    <n v="1190"/>
    <x v="437"/>
    <x v="1"/>
    <n v="600"/>
    <n v="14280"/>
    <n v="7080"/>
    <n v="49.579831932773111"/>
    <n v="7200"/>
  </r>
  <r>
    <x v="88"/>
    <x v="5"/>
    <x v="4"/>
    <x v="2"/>
    <x v="3"/>
    <x v="7"/>
    <n v="7"/>
    <n v="2180"/>
    <x v="438"/>
    <x v="1"/>
    <n v="1800"/>
    <n v="15260"/>
    <n v="2660"/>
    <n v="17.431192660550458"/>
    <n v="12600"/>
  </r>
  <r>
    <x v="20"/>
    <x v="15"/>
    <x v="2"/>
    <x v="7"/>
    <x v="6"/>
    <x v="0"/>
    <n v="26"/>
    <n v="2695"/>
    <x v="439"/>
    <x v="1"/>
    <n v="2300"/>
    <n v="70070"/>
    <n v="10270"/>
    <n v="14.656771799628942"/>
    <n v="59800"/>
  </r>
  <r>
    <x v="23"/>
    <x v="18"/>
    <x v="2"/>
    <x v="2"/>
    <x v="2"/>
    <x v="4"/>
    <n v="16"/>
    <n v="2632"/>
    <x v="440"/>
    <x v="0"/>
    <n v="1700"/>
    <n v="42112"/>
    <n v="14912"/>
    <n v="35.410334346504555"/>
    <n v="27200"/>
  </r>
  <r>
    <x v="31"/>
    <x v="22"/>
    <x v="0"/>
    <x v="5"/>
    <x v="5"/>
    <x v="8"/>
    <n v="19"/>
    <n v="1853"/>
    <x v="441"/>
    <x v="0"/>
    <n v="950"/>
    <n v="35207"/>
    <n v="17157"/>
    <n v="48.731786292498654"/>
    <n v="18050"/>
  </r>
  <r>
    <x v="3"/>
    <x v="3"/>
    <x v="3"/>
    <x v="5"/>
    <x v="4"/>
    <x v="3"/>
    <n v="33"/>
    <n v="1027"/>
    <x v="442"/>
    <x v="1"/>
    <n v="650"/>
    <n v="33891"/>
    <n v="12441"/>
    <n v="36.708860759493675"/>
    <n v="21450"/>
  </r>
  <r>
    <x v="55"/>
    <x v="28"/>
    <x v="3"/>
    <x v="2"/>
    <x v="1"/>
    <x v="5"/>
    <n v="14"/>
    <n v="392"/>
    <x v="443"/>
    <x v="1"/>
    <n v="200"/>
    <n v="5488"/>
    <n v="2688"/>
    <n v="48.979591836734691"/>
    <n v="2800"/>
  </r>
  <r>
    <x v="23"/>
    <x v="18"/>
    <x v="3"/>
    <x v="0"/>
    <x v="6"/>
    <x v="6"/>
    <n v="38"/>
    <n v="2020"/>
    <x v="444"/>
    <x v="0"/>
    <n v="1400"/>
    <n v="76760"/>
    <n v="23560"/>
    <n v="30.693069306930692"/>
    <n v="53200"/>
  </r>
  <r>
    <x v="50"/>
    <x v="0"/>
    <x v="1"/>
    <x v="2"/>
    <x v="0"/>
    <x v="8"/>
    <n v="42"/>
    <n v="383"/>
    <x v="445"/>
    <x v="1"/>
    <n v="250"/>
    <n v="16086"/>
    <n v="5586"/>
    <n v="34.725848563968668"/>
    <n v="10500"/>
  </r>
  <r>
    <x v="11"/>
    <x v="1"/>
    <x v="3"/>
    <x v="2"/>
    <x v="5"/>
    <x v="0"/>
    <n v="18"/>
    <n v="2382"/>
    <x v="446"/>
    <x v="0"/>
    <n v="1800"/>
    <n v="42876"/>
    <n v="10476"/>
    <n v="24.433249370277078"/>
    <n v="32400"/>
  </r>
  <r>
    <x v="18"/>
    <x v="14"/>
    <x v="2"/>
    <x v="6"/>
    <x v="5"/>
    <x v="1"/>
    <n v="12"/>
    <n v="2992"/>
    <x v="447"/>
    <x v="0"/>
    <n v="2450"/>
    <n v="35904"/>
    <n v="6504"/>
    <n v="18.114973262032088"/>
    <n v="29400"/>
  </r>
  <r>
    <x v="5"/>
    <x v="5"/>
    <x v="3"/>
    <x v="6"/>
    <x v="9"/>
    <x v="0"/>
    <n v="14"/>
    <n v="1463"/>
    <x v="448"/>
    <x v="1"/>
    <n v="950"/>
    <n v="20482"/>
    <n v="7182"/>
    <n v="35.064935064935064"/>
    <n v="13300"/>
  </r>
  <r>
    <x v="68"/>
    <x v="27"/>
    <x v="0"/>
    <x v="6"/>
    <x v="6"/>
    <x v="6"/>
    <n v="19"/>
    <n v="1636"/>
    <x v="449"/>
    <x v="1"/>
    <n v="900"/>
    <n v="31084"/>
    <n v="13984"/>
    <n v="44.987775061124694"/>
    <n v="17100"/>
  </r>
  <r>
    <x v="58"/>
    <x v="18"/>
    <x v="1"/>
    <x v="7"/>
    <x v="7"/>
    <x v="5"/>
    <n v="36"/>
    <n v="1312"/>
    <x v="450"/>
    <x v="0"/>
    <n v="1150"/>
    <n v="47232"/>
    <n v="5832"/>
    <n v="12.347560975609756"/>
    <n v="41400"/>
  </r>
  <r>
    <x v="88"/>
    <x v="5"/>
    <x v="4"/>
    <x v="4"/>
    <x v="7"/>
    <x v="7"/>
    <n v="14"/>
    <n v="1581"/>
    <x v="451"/>
    <x v="1"/>
    <n v="1350"/>
    <n v="22134"/>
    <n v="3234"/>
    <n v="14.611005692599621"/>
    <n v="18900"/>
  </r>
  <r>
    <x v="62"/>
    <x v="20"/>
    <x v="3"/>
    <x v="4"/>
    <x v="1"/>
    <x v="1"/>
    <n v="29"/>
    <n v="976"/>
    <x v="452"/>
    <x v="1"/>
    <n v="850"/>
    <n v="28304"/>
    <n v="3654"/>
    <n v="12.909836065573771"/>
    <n v="24650"/>
  </r>
  <r>
    <x v="65"/>
    <x v="25"/>
    <x v="0"/>
    <x v="4"/>
    <x v="2"/>
    <x v="5"/>
    <n v="44"/>
    <n v="939"/>
    <x v="453"/>
    <x v="0"/>
    <n v="550"/>
    <n v="41316"/>
    <n v="17116"/>
    <n v="41.427050053248138"/>
    <n v="24200"/>
  </r>
  <r>
    <x v="46"/>
    <x v="16"/>
    <x v="1"/>
    <x v="0"/>
    <x v="3"/>
    <x v="1"/>
    <n v="38"/>
    <n v="2206"/>
    <x v="454"/>
    <x v="1"/>
    <n v="1850"/>
    <n v="83828"/>
    <n v="13528"/>
    <n v="16.13780598368087"/>
    <n v="70300"/>
  </r>
  <r>
    <x v="23"/>
    <x v="18"/>
    <x v="2"/>
    <x v="2"/>
    <x v="2"/>
    <x v="9"/>
    <n v="47"/>
    <n v="2324"/>
    <x v="455"/>
    <x v="1"/>
    <n v="1600"/>
    <n v="109228"/>
    <n v="34028"/>
    <n v="31.153184165232357"/>
    <n v="75200"/>
  </r>
  <r>
    <x v="28"/>
    <x v="20"/>
    <x v="4"/>
    <x v="4"/>
    <x v="5"/>
    <x v="1"/>
    <n v="18"/>
    <n v="2319"/>
    <x v="456"/>
    <x v="1"/>
    <n v="1600"/>
    <n v="41742"/>
    <n v="12942"/>
    <n v="31.004743423889607"/>
    <n v="28800"/>
  </r>
  <r>
    <x v="23"/>
    <x v="18"/>
    <x v="2"/>
    <x v="3"/>
    <x v="8"/>
    <x v="2"/>
    <n v="35"/>
    <n v="2471"/>
    <x v="457"/>
    <x v="0"/>
    <n v="1750"/>
    <n v="86485"/>
    <n v="25235"/>
    <n v="29.178470254957507"/>
    <n v="61250"/>
  </r>
  <r>
    <x v="8"/>
    <x v="8"/>
    <x v="3"/>
    <x v="3"/>
    <x v="8"/>
    <x v="1"/>
    <n v="12"/>
    <n v="2050"/>
    <x v="458"/>
    <x v="1"/>
    <n v="1150"/>
    <n v="24600"/>
    <n v="10800"/>
    <n v="43.902439024390247"/>
    <n v="13800"/>
  </r>
  <r>
    <x v="84"/>
    <x v="2"/>
    <x v="1"/>
    <x v="6"/>
    <x v="5"/>
    <x v="9"/>
    <n v="27"/>
    <n v="1120"/>
    <x v="459"/>
    <x v="0"/>
    <n v="900"/>
    <n v="30240"/>
    <n v="5940"/>
    <n v="19.642857142857142"/>
    <n v="24300"/>
  </r>
  <r>
    <x v="20"/>
    <x v="15"/>
    <x v="2"/>
    <x v="2"/>
    <x v="2"/>
    <x v="2"/>
    <n v="29"/>
    <n v="324"/>
    <x v="460"/>
    <x v="0"/>
    <n v="200"/>
    <n v="9396"/>
    <n v="3596"/>
    <n v="38.271604938271601"/>
    <n v="5800"/>
  </r>
  <r>
    <x v="24"/>
    <x v="7"/>
    <x v="3"/>
    <x v="1"/>
    <x v="8"/>
    <x v="0"/>
    <n v="23"/>
    <n v="446"/>
    <x v="461"/>
    <x v="0"/>
    <n v="300"/>
    <n v="10258"/>
    <n v="3358"/>
    <n v="32.735426008968609"/>
    <n v="6900"/>
  </r>
  <r>
    <x v="60"/>
    <x v="17"/>
    <x v="0"/>
    <x v="5"/>
    <x v="4"/>
    <x v="6"/>
    <n v="42"/>
    <n v="1080"/>
    <x v="462"/>
    <x v="0"/>
    <n v="600"/>
    <n v="45360"/>
    <n v="20160"/>
    <n v="44.444444444444443"/>
    <n v="25200"/>
  </r>
  <r>
    <x v="83"/>
    <x v="2"/>
    <x v="0"/>
    <x v="6"/>
    <x v="4"/>
    <x v="5"/>
    <n v="28"/>
    <n v="2015"/>
    <x v="463"/>
    <x v="0"/>
    <n v="1700"/>
    <n v="56420"/>
    <n v="8820"/>
    <n v="15.632754342431761"/>
    <n v="47600"/>
  </r>
  <r>
    <x v="18"/>
    <x v="14"/>
    <x v="4"/>
    <x v="1"/>
    <x v="3"/>
    <x v="2"/>
    <n v="35"/>
    <n v="1892"/>
    <x v="464"/>
    <x v="1"/>
    <n v="1150"/>
    <n v="66220"/>
    <n v="25970"/>
    <n v="39.217758985200845"/>
    <n v="40250"/>
  </r>
  <r>
    <x v="71"/>
    <x v="29"/>
    <x v="0"/>
    <x v="6"/>
    <x v="0"/>
    <x v="4"/>
    <n v="28"/>
    <n v="1459"/>
    <x v="465"/>
    <x v="1"/>
    <n v="900"/>
    <n v="40852"/>
    <n v="15652"/>
    <n v="38.313913639479097"/>
    <n v="25200"/>
  </r>
  <r>
    <x v="69"/>
    <x v="17"/>
    <x v="2"/>
    <x v="7"/>
    <x v="2"/>
    <x v="7"/>
    <n v="28"/>
    <n v="2187"/>
    <x v="466"/>
    <x v="1"/>
    <n v="1650"/>
    <n v="61236"/>
    <n v="15036"/>
    <n v="24.554183813443071"/>
    <n v="46200"/>
  </r>
  <r>
    <x v="20"/>
    <x v="15"/>
    <x v="4"/>
    <x v="7"/>
    <x v="2"/>
    <x v="4"/>
    <n v="46"/>
    <n v="1005"/>
    <x v="467"/>
    <x v="1"/>
    <n v="700"/>
    <n v="46230"/>
    <n v="14030"/>
    <n v="30.348258706467661"/>
    <n v="32200"/>
  </r>
  <r>
    <x v="57"/>
    <x v="29"/>
    <x v="3"/>
    <x v="0"/>
    <x v="1"/>
    <x v="8"/>
    <n v="18"/>
    <n v="1400"/>
    <x v="468"/>
    <x v="1"/>
    <n v="1050"/>
    <n v="25200"/>
    <n v="6300"/>
    <n v="25"/>
    <n v="18900"/>
  </r>
  <r>
    <x v="29"/>
    <x v="21"/>
    <x v="2"/>
    <x v="2"/>
    <x v="4"/>
    <x v="8"/>
    <n v="50"/>
    <n v="1089"/>
    <x v="469"/>
    <x v="0"/>
    <n v="950"/>
    <n v="54450"/>
    <n v="6950"/>
    <n v="12.764003673094582"/>
    <n v="47500"/>
  </r>
  <r>
    <x v="88"/>
    <x v="5"/>
    <x v="2"/>
    <x v="3"/>
    <x v="6"/>
    <x v="3"/>
    <n v="11"/>
    <n v="2612"/>
    <x v="470"/>
    <x v="0"/>
    <n v="1900"/>
    <n v="28732"/>
    <n v="7832"/>
    <n v="27.258805513016842"/>
    <n v="20900"/>
  </r>
  <r>
    <x v="37"/>
    <x v="5"/>
    <x v="4"/>
    <x v="3"/>
    <x v="3"/>
    <x v="7"/>
    <n v="40"/>
    <n v="339"/>
    <x v="471"/>
    <x v="0"/>
    <n v="300"/>
    <n v="13560"/>
    <n v="1560"/>
    <n v="11.504424778761061"/>
    <n v="12000"/>
  </r>
  <r>
    <x v="45"/>
    <x v="11"/>
    <x v="4"/>
    <x v="1"/>
    <x v="6"/>
    <x v="3"/>
    <n v="14"/>
    <n v="1438"/>
    <x v="472"/>
    <x v="0"/>
    <n v="1150"/>
    <n v="20132"/>
    <n v="4032"/>
    <n v="20.027816411682892"/>
    <n v="16100"/>
  </r>
  <r>
    <x v="60"/>
    <x v="17"/>
    <x v="4"/>
    <x v="6"/>
    <x v="0"/>
    <x v="5"/>
    <n v="24"/>
    <n v="1021"/>
    <x v="473"/>
    <x v="0"/>
    <n v="800"/>
    <n v="24504"/>
    <n v="5304"/>
    <n v="21.645445641527914"/>
    <n v="19200"/>
  </r>
  <r>
    <x v="25"/>
    <x v="8"/>
    <x v="3"/>
    <x v="1"/>
    <x v="2"/>
    <x v="0"/>
    <n v="21"/>
    <n v="1281"/>
    <x v="474"/>
    <x v="0"/>
    <n v="1050"/>
    <n v="26901"/>
    <n v="4851"/>
    <n v="18.032786885245901"/>
    <n v="22050"/>
  </r>
  <r>
    <x v="36"/>
    <x v="10"/>
    <x v="4"/>
    <x v="5"/>
    <x v="9"/>
    <x v="1"/>
    <n v="24"/>
    <n v="1757"/>
    <x v="475"/>
    <x v="1"/>
    <n v="1450"/>
    <n v="42168"/>
    <n v="7368"/>
    <n v="17.472965281730222"/>
    <n v="34800"/>
  </r>
  <r>
    <x v="6"/>
    <x v="6"/>
    <x v="4"/>
    <x v="7"/>
    <x v="3"/>
    <x v="6"/>
    <n v="12"/>
    <n v="1382"/>
    <x v="476"/>
    <x v="0"/>
    <n v="1100"/>
    <n v="16584"/>
    <n v="3384"/>
    <n v="20.405209840810421"/>
    <n v="13200"/>
  </r>
  <r>
    <x v="23"/>
    <x v="18"/>
    <x v="2"/>
    <x v="6"/>
    <x v="2"/>
    <x v="9"/>
    <n v="50"/>
    <n v="2289"/>
    <x v="477"/>
    <x v="0"/>
    <n v="1500"/>
    <n v="114450"/>
    <n v="39450"/>
    <n v="34.469200524246396"/>
    <n v="75000"/>
  </r>
  <r>
    <x v="12"/>
    <x v="10"/>
    <x v="1"/>
    <x v="5"/>
    <x v="2"/>
    <x v="1"/>
    <n v="16"/>
    <n v="1519"/>
    <x v="478"/>
    <x v="0"/>
    <n v="1250"/>
    <n v="24304"/>
    <n v="4304"/>
    <n v="17.709019091507571"/>
    <n v="20000"/>
  </r>
  <r>
    <x v="42"/>
    <x v="13"/>
    <x v="3"/>
    <x v="4"/>
    <x v="8"/>
    <x v="7"/>
    <n v="15"/>
    <n v="383"/>
    <x v="479"/>
    <x v="0"/>
    <n v="300"/>
    <n v="5745"/>
    <n v="1245"/>
    <n v="21.671018276762403"/>
    <n v="4500"/>
  </r>
  <r>
    <x v="9"/>
    <x v="3"/>
    <x v="3"/>
    <x v="6"/>
    <x v="1"/>
    <x v="7"/>
    <n v="36"/>
    <n v="989"/>
    <x v="480"/>
    <x v="1"/>
    <n v="650"/>
    <n v="35604"/>
    <n v="12204"/>
    <n v="34.277047522750252"/>
    <n v="23400"/>
  </r>
  <r>
    <x v="4"/>
    <x v="4"/>
    <x v="2"/>
    <x v="4"/>
    <x v="3"/>
    <x v="6"/>
    <n v="23"/>
    <n v="1938"/>
    <x v="481"/>
    <x v="0"/>
    <n v="1550"/>
    <n v="44574"/>
    <n v="8924"/>
    <n v="20.020639834881322"/>
    <n v="35650"/>
  </r>
  <r>
    <x v="67"/>
    <x v="30"/>
    <x v="4"/>
    <x v="2"/>
    <x v="8"/>
    <x v="4"/>
    <n v="45"/>
    <n v="2281"/>
    <x v="482"/>
    <x v="0"/>
    <n v="1850"/>
    <n v="102645"/>
    <n v="19395"/>
    <n v="18.895221394125382"/>
    <n v="83250"/>
  </r>
  <r>
    <x v="18"/>
    <x v="14"/>
    <x v="3"/>
    <x v="7"/>
    <x v="4"/>
    <x v="9"/>
    <n v="42"/>
    <n v="1915"/>
    <x v="483"/>
    <x v="1"/>
    <n v="1450"/>
    <n v="80430"/>
    <n v="19530"/>
    <n v="24.281984334203656"/>
    <n v="60900"/>
  </r>
  <r>
    <x v="38"/>
    <x v="8"/>
    <x v="2"/>
    <x v="5"/>
    <x v="1"/>
    <x v="6"/>
    <n v="43"/>
    <n v="1469"/>
    <x v="484"/>
    <x v="0"/>
    <n v="1050"/>
    <n v="63167"/>
    <n v="18017"/>
    <n v="28.522804628999321"/>
    <n v="45150"/>
  </r>
  <r>
    <x v="47"/>
    <x v="14"/>
    <x v="3"/>
    <x v="0"/>
    <x v="5"/>
    <x v="8"/>
    <n v="40"/>
    <n v="368"/>
    <x v="485"/>
    <x v="0"/>
    <n v="250"/>
    <n v="14720"/>
    <n v="4720"/>
    <n v="32.065217391304344"/>
    <n v="10000"/>
  </r>
  <r>
    <x v="41"/>
    <x v="16"/>
    <x v="3"/>
    <x v="4"/>
    <x v="8"/>
    <x v="9"/>
    <n v="48"/>
    <n v="715"/>
    <x v="486"/>
    <x v="0"/>
    <n v="600"/>
    <n v="34320"/>
    <n v="5520"/>
    <n v="16.083916083916083"/>
    <n v="28800"/>
  </r>
  <r>
    <x v="68"/>
    <x v="27"/>
    <x v="1"/>
    <x v="2"/>
    <x v="7"/>
    <x v="7"/>
    <n v="36"/>
    <n v="1117"/>
    <x v="487"/>
    <x v="1"/>
    <n v="1000"/>
    <n v="40212"/>
    <n v="4212"/>
    <n v="10.474485228290064"/>
    <n v="36000"/>
  </r>
  <r>
    <x v="21"/>
    <x v="16"/>
    <x v="3"/>
    <x v="3"/>
    <x v="6"/>
    <x v="8"/>
    <n v="28"/>
    <n v="1319"/>
    <x v="488"/>
    <x v="1"/>
    <n v="1000"/>
    <n v="36932"/>
    <n v="8932"/>
    <n v="24.184988627748293"/>
    <n v="28000"/>
  </r>
  <r>
    <x v="44"/>
    <x v="25"/>
    <x v="3"/>
    <x v="6"/>
    <x v="3"/>
    <x v="7"/>
    <n v="14"/>
    <n v="2976"/>
    <x v="489"/>
    <x v="1"/>
    <n v="1950"/>
    <n v="41664"/>
    <n v="14364"/>
    <n v="34.475806451612904"/>
    <n v="27300"/>
  </r>
  <r>
    <x v="71"/>
    <x v="29"/>
    <x v="4"/>
    <x v="3"/>
    <x v="1"/>
    <x v="0"/>
    <n v="6"/>
    <n v="597"/>
    <x v="490"/>
    <x v="0"/>
    <n v="500"/>
    <n v="3582"/>
    <n v="582"/>
    <n v="16.247906197654942"/>
    <n v="3000"/>
  </r>
  <r>
    <x v="11"/>
    <x v="1"/>
    <x v="4"/>
    <x v="6"/>
    <x v="0"/>
    <x v="0"/>
    <n v="21"/>
    <n v="1694"/>
    <x v="491"/>
    <x v="0"/>
    <n v="1300"/>
    <n v="35574"/>
    <n v="8274"/>
    <n v="23.258559622195985"/>
    <n v="27300"/>
  </r>
  <r>
    <x v="33"/>
    <x v="23"/>
    <x v="4"/>
    <x v="7"/>
    <x v="7"/>
    <x v="1"/>
    <n v="12"/>
    <n v="2537"/>
    <x v="492"/>
    <x v="1"/>
    <n v="1450"/>
    <n v="30444"/>
    <n v="13044"/>
    <n v="42.845880961765864"/>
    <n v="17400"/>
  </r>
  <r>
    <x v="23"/>
    <x v="18"/>
    <x v="3"/>
    <x v="4"/>
    <x v="0"/>
    <x v="5"/>
    <n v="37"/>
    <n v="875"/>
    <x v="493"/>
    <x v="0"/>
    <n v="650"/>
    <n v="32375"/>
    <n v="8325"/>
    <n v="25.714285714285712"/>
    <n v="24050"/>
  </r>
  <r>
    <x v="5"/>
    <x v="5"/>
    <x v="3"/>
    <x v="6"/>
    <x v="9"/>
    <x v="5"/>
    <n v="43"/>
    <n v="711"/>
    <x v="494"/>
    <x v="0"/>
    <n v="500"/>
    <n v="30573"/>
    <n v="9073"/>
    <n v="29.676511954992968"/>
    <n v="21500"/>
  </r>
  <r>
    <x v="3"/>
    <x v="3"/>
    <x v="4"/>
    <x v="5"/>
    <x v="4"/>
    <x v="4"/>
    <n v="20"/>
    <n v="675"/>
    <x v="495"/>
    <x v="0"/>
    <n v="450"/>
    <n v="13500"/>
    <n v="4500"/>
    <n v="33.333333333333329"/>
    <n v="9000"/>
  </r>
  <r>
    <x v="60"/>
    <x v="17"/>
    <x v="0"/>
    <x v="7"/>
    <x v="4"/>
    <x v="7"/>
    <n v="42"/>
    <n v="1802"/>
    <x v="496"/>
    <x v="1"/>
    <n v="1300"/>
    <n v="75684"/>
    <n v="21084"/>
    <n v="27.857935627081019"/>
    <n v="54600"/>
  </r>
  <r>
    <x v="31"/>
    <x v="22"/>
    <x v="4"/>
    <x v="3"/>
    <x v="7"/>
    <x v="8"/>
    <n v="11"/>
    <n v="1248"/>
    <x v="497"/>
    <x v="1"/>
    <n v="950"/>
    <n v="13728"/>
    <n v="3278"/>
    <n v="23.878205128205128"/>
    <n v="10450"/>
  </r>
  <r>
    <x v="89"/>
    <x v="14"/>
    <x v="1"/>
    <x v="1"/>
    <x v="0"/>
    <x v="6"/>
    <n v="46"/>
    <n v="2907"/>
    <x v="498"/>
    <x v="0"/>
    <n v="2200"/>
    <n v="133722"/>
    <n v="32522"/>
    <n v="24.320605435156519"/>
    <n v="101200"/>
  </r>
  <r>
    <x v="19"/>
    <x v="10"/>
    <x v="0"/>
    <x v="5"/>
    <x v="7"/>
    <x v="6"/>
    <n v="8"/>
    <n v="2960"/>
    <x v="499"/>
    <x v="1"/>
    <n v="1800"/>
    <n v="23680"/>
    <n v="9280"/>
    <n v="39.189189189189186"/>
    <n v="14400"/>
  </r>
  <r>
    <x v="5"/>
    <x v="5"/>
    <x v="2"/>
    <x v="6"/>
    <x v="3"/>
    <x v="6"/>
    <n v="45"/>
    <n v="1554"/>
    <x v="500"/>
    <x v="0"/>
    <n v="1200"/>
    <n v="69930"/>
    <n v="15930"/>
    <n v="22.779922779922778"/>
    <n v="54000"/>
  </r>
  <r>
    <x v="27"/>
    <x v="1"/>
    <x v="2"/>
    <x v="0"/>
    <x v="7"/>
    <x v="4"/>
    <n v="37"/>
    <n v="1707"/>
    <x v="501"/>
    <x v="0"/>
    <n v="1450"/>
    <n v="63159"/>
    <n v="9509"/>
    <n v="15.055653192735793"/>
    <n v="53650"/>
  </r>
  <r>
    <x v="78"/>
    <x v="12"/>
    <x v="2"/>
    <x v="7"/>
    <x v="3"/>
    <x v="9"/>
    <n v="19"/>
    <n v="2379"/>
    <x v="502"/>
    <x v="1"/>
    <n v="1250"/>
    <n v="45201"/>
    <n v="21451"/>
    <n v="47.456914670029427"/>
    <n v="23750"/>
  </r>
  <r>
    <x v="57"/>
    <x v="29"/>
    <x v="0"/>
    <x v="1"/>
    <x v="9"/>
    <x v="5"/>
    <n v="38"/>
    <n v="2726"/>
    <x v="503"/>
    <x v="1"/>
    <n v="1500"/>
    <n v="103588"/>
    <n v="46588"/>
    <n v="44.974321349963311"/>
    <n v="57000"/>
  </r>
  <r>
    <x v="73"/>
    <x v="4"/>
    <x v="4"/>
    <x v="7"/>
    <x v="2"/>
    <x v="5"/>
    <n v="22"/>
    <n v="2660"/>
    <x v="504"/>
    <x v="1"/>
    <n v="1800"/>
    <n v="58520"/>
    <n v="18920"/>
    <n v="32.330827067669169"/>
    <n v="39600"/>
  </r>
  <r>
    <x v="72"/>
    <x v="22"/>
    <x v="3"/>
    <x v="6"/>
    <x v="6"/>
    <x v="5"/>
    <n v="42"/>
    <n v="514"/>
    <x v="505"/>
    <x v="1"/>
    <n v="300"/>
    <n v="21588"/>
    <n v="8988"/>
    <n v="41.634241245136188"/>
    <n v="12600"/>
  </r>
  <r>
    <x v="27"/>
    <x v="1"/>
    <x v="3"/>
    <x v="2"/>
    <x v="7"/>
    <x v="1"/>
    <n v="49"/>
    <n v="2885"/>
    <x v="506"/>
    <x v="1"/>
    <n v="1500"/>
    <n v="141365"/>
    <n v="67865"/>
    <n v="48.00693240901213"/>
    <n v="73500"/>
  </r>
  <r>
    <x v="34"/>
    <x v="12"/>
    <x v="0"/>
    <x v="4"/>
    <x v="9"/>
    <x v="8"/>
    <n v="18"/>
    <n v="2525"/>
    <x v="507"/>
    <x v="1"/>
    <n v="1700"/>
    <n v="45450"/>
    <n v="14850"/>
    <n v="32.673267326732677"/>
    <n v="30600"/>
  </r>
  <r>
    <x v="21"/>
    <x v="16"/>
    <x v="3"/>
    <x v="3"/>
    <x v="9"/>
    <x v="6"/>
    <n v="9"/>
    <n v="355"/>
    <x v="508"/>
    <x v="0"/>
    <n v="200"/>
    <n v="3195"/>
    <n v="1395"/>
    <n v="43.661971830985912"/>
    <n v="1800"/>
  </r>
  <r>
    <x v="40"/>
    <x v="25"/>
    <x v="4"/>
    <x v="2"/>
    <x v="7"/>
    <x v="8"/>
    <n v="11"/>
    <n v="1404"/>
    <x v="509"/>
    <x v="0"/>
    <n v="950"/>
    <n v="15444"/>
    <n v="4994"/>
    <n v="32.336182336182333"/>
    <n v="10450"/>
  </r>
  <r>
    <x v="12"/>
    <x v="10"/>
    <x v="2"/>
    <x v="2"/>
    <x v="8"/>
    <x v="3"/>
    <n v="34"/>
    <n v="980"/>
    <x v="510"/>
    <x v="1"/>
    <n v="650"/>
    <n v="33320"/>
    <n v="11220"/>
    <n v="33.673469387755098"/>
    <n v="22100"/>
  </r>
  <r>
    <x v="81"/>
    <x v="13"/>
    <x v="0"/>
    <x v="0"/>
    <x v="9"/>
    <x v="4"/>
    <n v="29"/>
    <n v="2165"/>
    <x v="511"/>
    <x v="0"/>
    <n v="1650"/>
    <n v="62785"/>
    <n v="14935"/>
    <n v="23.787528868360276"/>
    <n v="47850"/>
  </r>
  <r>
    <x v="16"/>
    <x v="7"/>
    <x v="3"/>
    <x v="6"/>
    <x v="3"/>
    <x v="2"/>
    <n v="29"/>
    <n v="835"/>
    <x v="512"/>
    <x v="0"/>
    <n v="650"/>
    <n v="24215"/>
    <n v="5365"/>
    <n v="22.155688622754489"/>
    <n v="18850"/>
  </r>
  <r>
    <x v="73"/>
    <x v="4"/>
    <x v="4"/>
    <x v="3"/>
    <x v="3"/>
    <x v="8"/>
    <n v="18"/>
    <n v="746"/>
    <x v="513"/>
    <x v="0"/>
    <n v="550"/>
    <n v="13428"/>
    <n v="3528"/>
    <n v="26.273458445040216"/>
    <n v="9900"/>
  </r>
  <r>
    <x v="67"/>
    <x v="30"/>
    <x v="0"/>
    <x v="5"/>
    <x v="1"/>
    <x v="2"/>
    <n v="33"/>
    <n v="2389"/>
    <x v="514"/>
    <x v="1"/>
    <n v="1650"/>
    <n v="78837"/>
    <n v="24387"/>
    <n v="30.933444956048557"/>
    <n v="54450"/>
  </r>
  <r>
    <x v="36"/>
    <x v="10"/>
    <x v="4"/>
    <x v="7"/>
    <x v="5"/>
    <x v="1"/>
    <n v="9"/>
    <n v="385"/>
    <x v="515"/>
    <x v="0"/>
    <n v="350"/>
    <n v="3465"/>
    <n v="315"/>
    <n v="9.0909090909090917"/>
    <n v="3150"/>
  </r>
  <r>
    <x v="30"/>
    <x v="15"/>
    <x v="1"/>
    <x v="3"/>
    <x v="1"/>
    <x v="1"/>
    <n v="26"/>
    <n v="924"/>
    <x v="516"/>
    <x v="0"/>
    <n v="600"/>
    <n v="24024"/>
    <n v="8424"/>
    <n v="35.064935064935064"/>
    <n v="15600"/>
  </r>
  <r>
    <x v="65"/>
    <x v="25"/>
    <x v="0"/>
    <x v="7"/>
    <x v="1"/>
    <x v="6"/>
    <n v="27"/>
    <n v="778"/>
    <x v="517"/>
    <x v="1"/>
    <n v="600"/>
    <n v="21006"/>
    <n v="4806"/>
    <n v="22.879177377892031"/>
    <n v="16200"/>
  </r>
  <r>
    <x v="63"/>
    <x v="28"/>
    <x v="1"/>
    <x v="5"/>
    <x v="6"/>
    <x v="0"/>
    <n v="40"/>
    <n v="1790"/>
    <x v="518"/>
    <x v="0"/>
    <n v="1200"/>
    <n v="71600"/>
    <n v="23600"/>
    <n v="32.960893854748605"/>
    <n v="48000"/>
  </r>
  <r>
    <x v="79"/>
    <x v="24"/>
    <x v="3"/>
    <x v="7"/>
    <x v="4"/>
    <x v="3"/>
    <n v="33"/>
    <n v="2602"/>
    <x v="519"/>
    <x v="0"/>
    <n v="1350"/>
    <n v="85866"/>
    <n v="41316"/>
    <n v="48.116833205226747"/>
    <n v="44550"/>
  </r>
  <r>
    <x v="9"/>
    <x v="3"/>
    <x v="1"/>
    <x v="3"/>
    <x v="1"/>
    <x v="3"/>
    <n v="40"/>
    <n v="649"/>
    <x v="520"/>
    <x v="1"/>
    <n v="450"/>
    <n v="25960"/>
    <n v="7960"/>
    <n v="30.662557781201848"/>
    <n v="18000"/>
  </r>
  <r>
    <x v="53"/>
    <x v="24"/>
    <x v="1"/>
    <x v="1"/>
    <x v="9"/>
    <x v="0"/>
    <n v="7"/>
    <n v="353"/>
    <x v="521"/>
    <x v="1"/>
    <n v="250"/>
    <n v="2471"/>
    <n v="721"/>
    <n v="29.178470254957507"/>
    <n v="1750"/>
  </r>
  <r>
    <x v="51"/>
    <x v="9"/>
    <x v="2"/>
    <x v="0"/>
    <x v="8"/>
    <x v="5"/>
    <n v="9"/>
    <n v="1254"/>
    <x v="522"/>
    <x v="1"/>
    <n v="1050"/>
    <n v="11286"/>
    <n v="1836"/>
    <n v="16.267942583732058"/>
    <n v="9450"/>
  </r>
  <r>
    <x v="14"/>
    <x v="12"/>
    <x v="1"/>
    <x v="0"/>
    <x v="7"/>
    <x v="3"/>
    <n v="50"/>
    <n v="692"/>
    <x v="523"/>
    <x v="0"/>
    <n v="400"/>
    <n v="34600"/>
    <n v="14600"/>
    <n v="42.196531791907518"/>
    <n v="20000"/>
  </r>
  <r>
    <x v="25"/>
    <x v="8"/>
    <x v="2"/>
    <x v="5"/>
    <x v="9"/>
    <x v="7"/>
    <n v="11"/>
    <n v="479"/>
    <x v="524"/>
    <x v="0"/>
    <n v="350"/>
    <n v="5269"/>
    <n v="1419"/>
    <n v="26.931106471816285"/>
    <n v="3850"/>
  </r>
  <r>
    <x v="27"/>
    <x v="1"/>
    <x v="2"/>
    <x v="2"/>
    <x v="4"/>
    <x v="2"/>
    <n v="50"/>
    <n v="1840"/>
    <x v="525"/>
    <x v="0"/>
    <n v="1250"/>
    <n v="92000"/>
    <n v="29500"/>
    <n v="32.065217391304344"/>
    <n v="62500"/>
  </r>
  <r>
    <x v="73"/>
    <x v="4"/>
    <x v="2"/>
    <x v="1"/>
    <x v="1"/>
    <x v="1"/>
    <n v="49"/>
    <n v="1481"/>
    <x v="526"/>
    <x v="1"/>
    <n v="1100"/>
    <n v="72569"/>
    <n v="18669"/>
    <n v="25.725860904794057"/>
    <n v="53900"/>
  </r>
  <r>
    <x v="11"/>
    <x v="1"/>
    <x v="3"/>
    <x v="0"/>
    <x v="4"/>
    <x v="6"/>
    <n v="11"/>
    <n v="2978"/>
    <x v="527"/>
    <x v="0"/>
    <n v="2500"/>
    <n v="32758"/>
    <n v="5258"/>
    <n v="16.05104096709201"/>
    <n v="27500"/>
  </r>
  <r>
    <x v="65"/>
    <x v="25"/>
    <x v="3"/>
    <x v="5"/>
    <x v="3"/>
    <x v="8"/>
    <n v="6"/>
    <n v="593"/>
    <x v="528"/>
    <x v="0"/>
    <n v="500"/>
    <n v="3558"/>
    <n v="558"/>
    <n v="15.682967959527824"/>
    <n v="3000"/>
  </r>
  <r>
    <x v="29"/>
    <x v="21"/>
    <x v="4"/>
    <x v="5"/>
    <x v="5"/>
    <x v="6"/>
    <n v="44"/>
    <n v="1808"/>
    <x v="529"/>
    <x v="0"/>
    <n v="950"/>
    <n v="79552"/>
    <n v="37752"/>
    <n v="47.455752212389378"/>
    <n v="41800"/>
  </r>
  <r>
    <x v="11"/>
    <x v="1"/>
    <x v="3"/>
    <x v="1"/>
    <x v="0"/>
    <x v="6"/>
    <n v="37"/>
    <n v="1619"/>
    <x v="530"/>
    <x v="0"/>
    <n v="950"/>
    <n v="59903"/>
    <n v="24753"/>
    <n v="41.321803582458308"/>
    <n v="35150"/>
  </r>
  <r>
    <x v="40"/>
    <x v="25"/>
    <x v="3"/>
    <x v="4"/>
    <x v="5"/>
    <x v="5"/>
    <n v="26"/>
    <n v="2101"/>
    <x v="531"/>
    <x v="0"/>
    <n v="1100"/>
    <n v="54626"/>
    <n v="26026"/>
    <n v="47.643979057591622"/>
    <n v="28600"/>
  </r>
  <r>
    <x v="25"/>
    <x v="8"/>
    <x v="1"/>
    <x v="6"/>
    <x v="3"/>
    <x v="5"/>
    <n v="25"/>
    <n v="1046"/>
    <x v="532"/>
    <x v="0"/>
    <n v="800"/>
    <n v="26150"/>
    <n v="6150"/>
    <n v="23.518164435946463"/>
    <n v="20000"/>
  </r>
  <r>
    <x v="9"/>
    <x v="3"/>
    <x v="3"/>
    <x v="4"/>
    <x v="4"/>
    <x v="7"/>
    <n v="43"/>
    <n v="371"/>
    <x v="533"/>
    <x v="1"/>
    <n v="200"/>
    <n v="15953"/>
    <n v="7353"/>
    <n v="46.091644204851754"/>
    <n v="8600"/>
  </r>
  <r>
    <x v="10"/>
    <x v="9"/>
    <x v="2"/>
    <x v="0"/>
    <x v="4"/>
    <x v="8"/>
    <n v="21"/>
    <n v="2983"/>
    <x v="534"/>
    <x v="0"/>
    <n v="2150"/>
    <n v="62643"/>
    <n v="17493"/>
    <n v="27.924907810928595"/>
    <n v="45150"/>
  </r>
  <r>
    <x v="60"/>
    <x v="17"/>
    <x v="4"/>
    <x v="7"/>
    <x v="1"/>
    <x v="4"/>
    <n v="44"/>
    <n v="2380"/>
    <x v="535"/>
    <x v="0"/>
    <n v="1950"/>
    <n v="104720"/>
    <n v="18920"/>
    <n v="18.067226890756302"/>
    <n v="85800"/>
  </r>
  <r>
    <x v="89"/>
    <x v="14"/>
    <x v="1"/>
    <x v="7"/>
    <x v="3"/>
    <x v="3"/>
    <n v="25"/>
    <n v="1225"/>
    <x v="536"/>
    <x v="0"/>
    <n v="650"/>
    <n v="30625"/>
    <n v="14375"/>
    <n v="46.938775510204081"/>
    <n v="16250"/>
  </r>
  <r>
    <x v="81"/>
    <x v="13"/>
    <x v="3"/>
    <x v="3"/>
    <x v="0"/>
    <x v="4"/>
    <n v="35"/>
    <n v="2730"/>
    <x v="537"/>
    <x v="0"/>
    <n v="1700"/>
    <n v="95550"/>
    <n v="36050"/>
    <n v="37.72893772893773"/>
    <n v="59500"/>
  </r>
  <r>
    <x v="31"/>
    <x v="22"/>
    <x v="4"/>
    <x v="3"/>
    <x v="7"/>
    <x v="7"/>
    <n v="26"/>
    <n v="1226"/>
    <x v="538"/>
    <x v="1"/>
    <n v="1050"/>
    <n v="31876"/>
    <n v="4576"/>
    <n v="14.355628058727568"/>
    <n v="27300"/>
  </r>
  <r>
    <x v="15"/>
    <x v="9"/>
    <x v="4"/>
    <x v="0"/>
    <x v="1"/>
    <x v="8"/>
    <n v="47"/>
    <n v="2582"/>
    <x v="539"/>
    <x v="0"/>
    <n v="2300"/>
    <n v="121354"/>
    <n v="13254"/>
    <n v="10.921766072811774"/>
    <n v="108100"/>
  </r>
  <r>
    <x v="45"/>
    <x v="11"/>
    <x v="2"/>
    <x v="7"/>
    <x v="6"/>
    <x v="0"/>
    <n v="22"/>
    <n v="523"/>
    <x v="540"/>
    <x v="1"/>
    <n v="450"/>
    <n v="11506"/>
    <n v="1606"/>
    <n v="13.957934990439771"/>
    <n v="9900"/>
  </r>
  <r>
    <x v="50"/>
    <x v="0"/>
    <x v="3"/>
    <x v="0"/>
    <x v="6"/>
    <x v="0"/>
    <n v="21"/>
    <n v="2183"/>
    <x v="541"/>
    <x v="0"/>
    <n v="1800"/>
    <n v="45843"/>
    <n v="8043"/>
    <n v="17.544663307375171"/>
    <n v="37800"/>
  </r>
  <r>
    <x v="76"/>
    <x v="20"/>
    <x v="2"/>
    <x v="0"/>
    <x v="6"/>
    <x v="4"/>
    <n v="46"/>
    <n v="2924"/>
    <x v="542"/>
    <x v="1"/>
    <n v="2500"/>
    <n v="134504"/>
    <n v="19504"/>
    <n v="14.500683994528044"/>
    <n v="115000"/>
  </r>
  <r>
    <x v="32"/>
    <x v="19"/>
    <x v="1"/>
    <x v="3"/>
    <x v="8"/>
    <x v="2"/>
    <n v="8"/>
    <n v="2714"/>
    <x v="543"/>
    <x v="0"/>
    <n v="1750"/>
    <n v="21712"/>
    <n v="7712"/>
    <n v="35.519528371407517"/>
    <n v="14000"/>
  </r>
  <r>
    <x v="50"/>
    <x v="0"/>
    <x v="3"/>
    <x v="2"/>
    <x v="0"/>
    <x v="6"/>
    <n v="33"/>
    <n v="2190"/>
    <x v="544"/>
    <x v="0"/>
    <n v="1950"/>
    <n v="72270"/>
    <n v="7920"/>
    <n v="10.95890410958904"/>
    <n v="64350"/>
  </r>
  <r>
    <x v="56"/>
    <x v="15"/>
    <x v="4"/>
    <x v="2"/>
    <x v="0"/>
    <x v="3"/>
    <n v="29"/>
    <n v="2827"/>
    <x v="545"/>
    <x v="0"/>
    <n v="1650"/>
    <n v="81983"/>
    <n v="34133"/>
    <n v="41.634241245136188"/>
    <n v="47850"/>
  </r>
  <r>
    <x v="52"/>
    <x v="27"/>
    <x v="3"/>
    <x v="7"/>
    <x v="8"/>
    <x v="7"/>
    <n v="41"/>
    <n v="1902"/>
    <x v="546"/>
    <x v="0"/>
    <n v="1100"/>
    <n v="77982"/>
    <n v="32882"/>
    <n v="42.166140904311249"/>
    <n v="45100"/>
  </r>
  <r>
    <x v="41"/>
    <x v="16"/>
    <x v="4"/>
    <x v="2"/>
    <x v="6"/>
    <x v="1"/>
    <n v="16"/>
    <n v="2205"/>
    <x v="547"/>
    <x v="1"/>
    <n v="1800"/>
    <n v="35280"/>
    <n v="6480"/>
    <n v="18.367346938775512"/>
    <n v="28800"/>
  </r>
  <r>
    <x v="39"/>
    <x v="22"/>
    <x v="3"/>
    <x v="2"/>
    <x v="4"/>
    <x v="3"/>
    <n v="22"/>
    <n v="2703"/>
    <x v="548"/>
    <x v="0"/>
    <n v="1550"/>
    <n v="59466"/>
    <n v="25366"/>
    <n v="42.656307806141328"/>
    <n v="34100"/>
  </r>
  <r>
    <x v="51"/>
    <x v="9"/>
    <x v="1"/>
    <x v="7"/>
    <x v="7"/>
    <x v="9"/>
    <n v="21"/>
    <n v="1767"/>
    <x v="549"/>
    <x v="1"/>
    <n v="1100"/>
    <n v="37107"/>
    <n v="14007"/>
    <n v="37.747594793435205"/>
    <n v="23100"/>
  </r>
  <r>
    <x v="73"/>
    <x v="4"/>
    <x v="3"/>
    <x v="5"/>
    <x v="3"/>
    <x v="4"/>
    <n v="37"/>
    <n v="2789"/>
    <x v="550"/>
    <x v="0"/>
    <n v="1950"/>
    <n v="103193"/>
    <n v="31043"/>
    <n v="30.082466833990679"/>
    <n v="72150"/>
  </r>
  <r>
    <x v="53"/>
    <x v="24"/>
    <x v="0"/>
    <x v="6"/>
    <x v="6"/>
    <x v="2"/>
    <n v="27"/>
    <n v="2020"/>
    <x v="551"/>
    <x v="0"/>
    <n v="1800"/>
    <n v="54540"/>
    <n v="5940"/>
    <n v="10.891089108910892"/>
    <n v="48600"/>
  </r>
  <r>
    <x v="6"/>
    <x v="6"/>
    <x v="1"/>
    <x v="3"/>
    <x v="3"/>
    <x v="4"/>
    <n v="8"/>
    <n v="2493"/>
    <x v="552"/>
    <x v="0"/>
    <n v="2200"/>
    <n v="19944"/>
    <n v="2344"/>
    <n v="11.752908142799839"/>
    <n v="17600"/>
  </r>
  <r>
    <x v="39"/>
    <x v="22"/>
    <x v="4"/>
    <x v="6"/>
    <x v="1"/>
    <x v="9"/>
    <n v="37"/>
    <n v="769"/>
    <x v="553"/>
    <x v="0"/>
    <n v="550"/>
    <n v="28453"/>
    <n v="8103"/>
    <n v="28.478543563068921"/>
    <n v="20350"/>
  </r>
  <r>
    <x v="43"/>
    <x v="11"/>
    <x v="1"/>
    <x v="0"/>
    <x v="9"/>
    <x v="9"/>
    <n v="29"/>
    <n v="2478"/>
    <x v="554"/>
    <x v="0"/>
    <n v="1250"/>
    <n v="71862"/>
    <n v="35612"/>
    <n v="49.556093623890234"/>
    <n v="36250"/>
  </r>
  <r>
    <x v="61"/>
    <x v="23"/>
    <x v="0"/>
    <x v="2"/>
    <x v="5"/>
    <x v="6"/>
    <n v="33"/>
    <n v="2312"/>
    <x v="555"/>
    <x v="1"/>
    <n v="1550"/>
    <n v="76296"/>
    <n v="25146"/>
    <n v="32.958477508650518"/>
    <n v="51150"/>
  </r>
  <r>
    <x v="16"/>
    <x v="7"/>
    <x v="3"/>
    <x v="3"/>
    <x v="8"/>
    <x v="3"/>
    <n v="50"/>
    <n v="2207"/>
    <x v="556"/>
    <x v="1"/>
    <n v="1650"/>
    <n v="110350"/>
    <n v="27850"/>
    <n v="25.237879474399637"/>
    <n v="82500"/>
  </r>
  <r>
    <x v="63"/>
    <x v="28"/>
    <x v="1"/>
    <x v="4"/>
    <x v="0"/>
    <x v="0"/>
    <n v="21"/>
    <n v="1527"/>
    <x v="557"/>
    <x v="1"/>
    <n v="1250"/>
    <n v="32067"/>
    <n v="5817"/>
    <n v="18.140144073346431"/>
    <n v="26250"/>
  </r>
  <r>
    <x v="71"/>
    <x v="29"/>
    <x v="1"/>
    <x v="7"/>
    <x v="0"/>
    <x v="1"/>
    <n v="27"/>
    <n v="626"/>
    <x v="558"/>
    <x v="1"/>
    <n v="550"/>
    <n v="16902"/>
    <n v="2052"/>
    <n v="12.140575079872203"/>
    <n v="14850"/>
  </r>
  <r>
    <x v="83"/>
    <x v="2"/>
    <x v="3"/>
    <x v="5"/>
    <x v="6"/>
    <x v="5"/>
    <n v="10"/>
    <n v="2560"/>
    <x v="559"/>
    <x v="0"/>
    <n v="1650"/>
    <n v="25600"/>
    <n v="9100"/>
    <n v="35.546875"/>
    <n v="16500"/>
  </r>
  <r>
    <x v="83"/>
    <x v="2"/>
    <x v="4"/>
    <x v="2"/>
    <x v="8"/>
    <x v="8"/>
    <n v="50"/>
    <n v="849"/>
    <x v="560"/>
    <x v="0"/>
    <n v="450"/>
    <n v="42450"/>
    <n v="19950"/>
    <n v="46.996466431095406"/>
    <n v="22500"/>
  </r>
  <r>
    <x v="17"/>
    <x v="13"/>
    <x v="0"/>
    <x v="0"/>
    <x v="3"/>
    <x v="0"/>
    <n v="24"/>
    <n v="2882"/>
    <x v="561"/>
    <x v="0"/>
    <n v="2550"/>
    <n v="69168"/>
    <n v="7968"/>
    <n v="11.519777931991673"/>
    <n v="61200"/>
  </r>
  <r>
    <x v="23"/>
    <x v="18"/>
    <x v="1"/>
    <x v="0"/>
    <x v="0"/>
    <x v="8"/>
    <n v="25"/>
    <n v="1510"/>
    <x v="562"/>
    <x v="0"/>
    <n v="1050"/>
    <n v="37750"/>
    <n v="11500"/>
    <n v="30.463576158940398"/>
    <n v="26250"/>
  </r>
  <r>
    <x v="49"/>
    <x v="6"/>
    <x v="4"/>
    <x v="1"/>
    <x v="9"/>
    <x v="8"/>
    <n v="43"/>
    <n v="1331"/>
    <x v="563"/>
    <x v="1"/>
    <n v="1050"/>
    <n v="57233"/>
    <n v="12083"/>
    <n v="21.111945905334334"/>
    <n v="45150"/>
  </r>
  <r>
    <x v="59"/>
    <x v="0"/>
    <x v="3"/>
    <x v="5"/>
    <x v="9"/>
    <x v="5"/>
    <n v="12"/>
    <n v="2686"/>
    <x v="564"/>
    <x v="1"/>
    <n v="2150"/>
    <n v="32232"/>
    <n v="6432"/>
    <n v="19.955323901712585"/>
    <n v="25800"/>
  </r>
  <r>
    <x v="79"/>
    <x v="24"/>
    <x v="0"/>
    <x v="3"/>
    <x v="6"/>
    <x v="5"/>
    <n v="45"/>
    <n v="2342"/>
    <x v="565"/>
    <x v="0"/>
    <n v="1200"/>
    <n v="105390"/>
    <n v="51390"/>
    <n v="48.761742100768572"/>
    <n v="54000"/>
  </r>
  <r>
    <x v="29"/>
    <x v="21"/>
    <x v="1"/>
    <x v="1"/>
    <x v="2"/>
    <x v="7"/>
    <n v="7"/>
    <n v="1383"/>
    <x v="566"/>
    <x v="0"/>
    <n v="1150"/>
    <n v="9681"/>
    <n v="1631"/>
    <n v="16.847433116413594"/>
    <n v="8050"/>
  </r>
  <r>
    <x v="90"/>
    <x v="3"/>
    <x v="4"/>
    <x v="7"/>
    <x v="6"/>
    <x v="7"/>
    <n v="12"/>
    <n v="2600"/>
    <x v="567"/>
    <x v="0"/>
    <n v="2250"/>
    <n v="31200"/>
    <n v="4200"/>
    <n v="13.461538461538462"/>
    <n v="27000"/>
  </r>
  <r>
    <x v="83"/>
    <x v="2"/>
    <x v="2"/>
    <x v="1"/>
    <x v="8"/>
    <x v="7"/>
    <n v="19"/>
    <n v="1454"/>
    <x v="568"/>
    <x v="0"/>
    <n v="900"/>
    <n v="27626"/>
    <n v="10526"/>
    <n v="38.101788170563964"/>
    <n v="17100"/>
  </r>
  <r>
    <x v="69"/>
    <x v="17"/>
    <x v="0"/>
    <x v="0"/>
    <x v="4"/>
    <x v="9"/>
    <n v="30"/>
    <n v="2587"/>
    <x v="569"/>
    <x v="0"/>
    <n v="2100"/>
    <n v="77610"/>
    <n v="14610"/>
    <n v="18.824893699265559"/>
    <n v="63000"/>
  </r>
  <r>
    <x v="34"/>
    <x v="12"/>
    <x v="1"/>
    <x v="0"/>
    <x v="0"/>
    <x v="7"/>
    <n v="25"/>
    <n v="1075"/>
    <x v="570"/>
    <x v="0"/>
    <n v="950"/>
    <n v="26875"/>
    <n v="3125"/>
    <n v="11.627906976744185"/>
    <n v="23750"/>
  </r>
  <r>
    <x v="68"/>
    <x v="27"/>
    <x v="4"/>
    <x v="3"/>
    <x v="6"/>
    <x v="6"/>
    <n v="13"/>
    <n v="1951"/>
    <x v="571"/>
    <x v="1"/>
    <n v="1550"/>
    <n v="25363"/>
    <n v="5213"/>
    <n v="20.553562275756025"/>
    <n v="20150"/>
  </r>
  <r>
    <x v="86"/>
    <x v="28"/>
    <x v="2"/>
    <x v="5"/>
    <x v="9"/>
    <x v="9"/>
    <n v="27"/>
    <n v="687"/>
    <x v="572"/>
    <x v="1"/>
    <n v="450"/>
    <n v="18549"/>
    <n v="6399"/>
    <n v="34.497816593886469"/>
    <n v="12150"/>
  </r>
  <r>
    <x v="89"/>
    <x v="14"/>
    <x v="2"/>
    <x v="4"/>
    <x v="1"/>
    <x v="4"/>
    <n v="19"/>
    <n v="1132"/>
    <x v="573"/>
    <x v="0"/>
    <n v="900"/>
    <n v="21508"/>
    <n v="4408"/>
    <n v="20.49469964664311"/>
    <n v="17100"/>
  </r>
  <r>
    <x v="10"/>
    <x v="9"/>
    <x v="1"/>
    <x v="2"/>
    <x v="5"/>
    <x v="4"/>
    <n v="28"/>
    <n v="936"/>
    <x v="574"/>
    <x v="0"/>
    <n v="500"/>
    <n v="26208"/>
    <n v="12208"/>
    <n v="46.581196581196579"/>
    <n v="14000"/>
  </r>
  <r>
    <x v="46"/>
    <x v="16"/>
    <x v="0"/>
    <x v="5"/>
    <x v="4"/>
    <x v="5"/>
    <n v="21"/>
    <n v="1242"/>
    <x v="575"/>
    <x v="0"/>
    <n v="750"/>
    <n v="26082"/>
    <n v="10332"/>
    <n v="39.613526570048307"/>
    <n v="15750"/>
  </r>
  <r>
    <x v="2"/>
    <x v="2"/>
    <x v="1"/>
    <x v="0"/>
    <x v="4"/>
    <x v="6"/>
    <n v="48"/>
    <n v="2973"/>
    <x v="576"/>
    <x v="0"/>
    <n v="2150"/>
    <n v="142704"/>
    <n v="39504"/>
    <n v="27.682475613858053"/>
    <n v="103200"/>
  </r>
  <r>
    <x v="77"/>
    <x v="6"/>
    <x v="1"/>
    <x v="2"/>
    <x v="0"/>
    <x v="1"/>
    <n v="42"/>
    <n v="328"/>
    <x v="577"/>
    <x v="1"/>
    <n v="250"/>
    <n v="13776"/>
    <n v="3276"/>
    <n v="23.780487804878049"/>
    <n v="10500"/>
  </r>
  <r>
    <x v="38"/>
    <x v="8"/>
    <x v="2"/>
    <x v="0"/>
    <x v="6"/>
    <x v="2"/>
    <n v="50"/>
    <n v="446"/>
    <x v="578"/>
    <x v="0"/>
    <n v="350"/>
    <n v="22300"/>
    <n v="4800"/>
    <n v="21.524663677130047"/>
    <n v="17500"/>
  </r>
  <r>
    <x v="46"/>
    <x v="16"/>
    <x v="1"/>
    <x v="2"/>
    <x v="0"/>
    <x v="3"/>
    <n v="17"/>
    <n v="2090"/>
    <x v="579"/>
    <x v="1"/>
    <n v="1500"/>
    <n v="35530"/>
    <n v="10030"/>
    <n v="28.229665071770331"/>
    <n v="25500"/>
  </r>
  <r>
    <x v="63"/>
    <x v="28"/>
    <x v="1"/>
    <x v="5"/>
    <x v="8"/>
    <x v="4"/>
    <n v="18"/>
    <n v="764"/>
    <x v="580"/>
    <x v="0"/>
    <n v="600"/>
    <n v="13752"/>
    <n v="2952"/>
    <n v="21.465968586387437"/>
    <n v="10800"/>
  </r>
  <r>
    <x v="56"/>
    <x v="15"/>
    <x v="3"/>
    <x v="5"/>
    <x v="8"/>
    <x v="0"/>
    <n v="43"/>
    <n v="1990"/>
    <x v="581"/>
    <x v="1"/>
    <n v="1650"/>
    <n v="85570"/>
    <n v="14620"/>
    <n v="17.08542713567839"/>
    <n v="70950"/>
  </r>
  <r>
    <x v="70"/>
    <x v="21"/>
    <x v="2"/>
    <x v="3"/>
    <x v="9"/>
    <x v="2"/>
    <n v="9"/>
    <n v="2259"/>
    <x v="582"/>
    <x v="1"/>
    <n v="1600"/>
    <n v="20331"/>
    <n v="5931"/>
    <n v="29.172200088534751"/>
    <n v="14400"/>
  </r>
  <r>
    <x v="30"/>
    <x v="15"/>
    <x v="1"/>
    <x v="0"/>
    <x v="3"/>
    <x v="3"/>
    <n v="49"/>
    <n v="2810"/>
    <x v="583"/>
    <x v="0"/>
    <n v="1500"/>
    <n v="137690"/>
    <n v="64190"/>
    <n v="46.619217081850536"/>
    <n v="73500"/>
  </r>
  <r>
    <x v="68"/>
    <x v="27"/>
    <x v="2"/>
    <x v="1"/>
    <x v="4"/>
    <x v="9"/>
    <n v="12"/>
    <n v="1148"/>
    <x v="584"/>
    <x v="1"/>
    <n v="650"/>
    <n v="13776"/>
    <n v="5976"/>
    <n v="43.379790940766547"/>
    <n v="7800"/>
  </r>
  <r>
    <x v="19"/>
    <x v="10"/>
    <x v="0"/>
    <x v="2"/>
    <x v="6"/>
    <x v="8"/>
    <n v="9"/>
    <n v="1415"/>
    <x v="585"/>
    <x v="1"/>
    <n v="1150"/>
    <n v="12735"/>
    <n v="2385"/>
    <n v="18.727915194346288"/>
    <n v="10350"/>
  </r>
  <r>
    <x v="65"/>
    <x v="25"/>
    <x v="2"/>
    <x v="7"/>
    <x v="3"/>
    <x v="4"/>
    <n v="5"/>
    <n v="2838"/>
    <x v="586"/>
    <x v="0"/>
    <n v="2250"/>
    <n v="14190"/>
    <n v="2940"/>
    <n v="20.718816067653275"/>
    <n v="11250"/>
  </r>
  <r>
    <x v="57"/>
    <x v="29"/>
    <x v="0"/>
    <x v="6"/>
    <x v="3"/>
    <x v="4"/>
    <n v="41"/>
    <n v="2835"/>
    <x v="587"/>
    <x v="0"/>
    <n v="2250"/>
    <n v="116235"/>
    <n v="23985"/>
    <n v="20.634920634920633"/>
    <n v="92250"/>
  </r>
  <r>
    <x v="45"/>
    <x v="11"/>
    <x v="0"/>
    <x v="2"/>
    <x v="0"/>
    <x v="8"/>
    <n v="5"/>
    <n v="1457"/>
    <x v="588"/>
    <x v="1"/>
    <n v="950"/>
    <n v="7285"/>
    <n v="2535"/>
    <n v="34.797529169526427"/>
    <n v="4750"/>
  </r>
  <r>
    <x v="14"/>
    <x v="12"/>
    <x v="3"/>
    <x v="3"/>
    <x v="2"/>
    <x v="2"/>
    <n v="20"/>
    <n v="2361"/>
    <x v="589"/>
    <x v="0"/>
    <n v="1450"/>
    <n v="47220"/>
    <n v="18220"/>
    <n v="38.585345192714954"/>
    <n v="29000"/>
  </r>
  <r>
    <x v="90"/>
    <x v="3"/>
    <x v="4"/>
    <x v="5"/>
    <x v="8"/>
    <x v="7"/>
    <n v="27"/>
    <n v="1848"/>
    <x v="590"/>
    <x v="0"/>
    <n v="1150"/>
    <n v="49896"/>
    <n v="18846"/>
    <n v="37.770562770562769"/>
    <n v="31050"/>
  </r>
  <r>
    <x v="43"/>
    <x v="11"/>
    <x v="4"/>
    <x v="7"/>
    <x v="6"/>
    <x v="1"/>
    <n v="39"/>
    <n v="2552"/>
    <x v="591"/>
    <x v="1"/>
    <n v="1550"/>
    <n v="99528"/>
    <n v="39078"/>
    <n v="39.263322884012538"/>
    <n v="60450"/>
  </r>
  <r>
    <x v="84"/>
    <x v="2"/>
    <x v="1"/>
    <x v="2"/>
    <x v="0"/>
    <x v="3"/>
    <n v="46"/>
    <n v="2272"/>
    <x v="592"/>
    <x v="0"/>
    <n v="1300"/>
    <n v="104512"/>
    <n v="44712"/>
    <n v="42.781690140845072"/>
    <n v="59800"/>
  </r>
  <r>
    <x v="11"/>
    <x v="1"/>
    <x v="0"/>
    <x v="7"/>
    <x v="2"/>
    <x v="3"/>
    <n v="27"/>
    <n v="1456"/>
    <x v="593"/>
    <x v="1"/>
    <n v="1000"/>
    <n v="39312"/>
    <n v="12312"/>
    <n v="31.318681318681318"/>
    <n v="27000"/>
  </r>
  <r>
    <x v="90"/>
    <x v="3"/>
    <x v="0"/>
    <x v="2"/>
    <x v="9"/>
    <x v="4"/>
    <n v="6"/>
    <n v="2484"/>
    <x v="594"/>
    <x v="0"/>
    <n v="2100"/>
    <n v="14904"/>
    <n v="2304"/>
    <n v="15.458937198067632"/>
    <n v="12600"/>
  </r>
  <r>
    <x v="75"/>
    <x v="4"/>
    <x v="0"/>
    <x v="1"/>
    <x v="8"/>
    <x v="8"/>
    <n v="33"/>
    <n v="980"/>
    <x v="595"/>
    <x v="1"/>
    <n v="750"/>
    <n v="32340"/>
    <n v="7590"/>
    <n v="23.469387755102041"/>
    <n v="24750"/>
  </r>
  <r>
    <x v="27"/>
    <x v="1"/>
    <x v="2"/>
    <x v="7"/>
    <x v="0"/>
    <x v="0"/>
    <n v="41"/>
    <n v="1480"/>
    <x v="596"/>
    <x v="1"/>
    <n v="800"/>
    <n v="60680"/>
    <n v="27880"/>
    <n v="45.945945945945951"/>
    <n v="32800"/>
  </r>
  <r>
    <x v="2"/>
    <x v="2"/>
    <x v="2"/>
    <x v="7"/>
    <x v="0"/>
    <x v="7"/>
    <n v="26"/>
    <n v="1334"/>
    <x v="597"/>
    <x v="0"/>
    <n v="950"/>
    <n v="34684"/>
    <n v="9984"/>
    <n v="28.785607196401799"/>
    <n v="24700"/>
  </r>
  <r>
    <x v="76"/>
    <x v="20"/>
    <x v="4"/>
    <x v="0"/>
    <x v="9"/>
    <x v="8"/>
    <n v="11"/>
    <n v="997"/>
    <x v="598"/>
    <x v="1"/>
    <n v="600"/>
    <n v="10967"/>
    <n v="4367"/>
    <n v="39.819458375125379"/>
    <n v="6600"/>
  </r>
  <r>
    <x v="69"/>
    <x v="17"/>
    <x v="1"/>
    <x v="1"/>
    <x v="1"/>
    <x v="2"/>
    <n v="21"/>
    <n v="1458"/>
    <x v="599"/>
    <x v="1"/>
    <n v="1200"/>
    <n v="30618"/>
    <n v="5418"/>
    <n v="17.695473251028808"/>
    <n v="25200"/>
  </r>
  <r>
    <x v="10"/>
    <x v="9"/>
    <x v="1"/>
    <x v="0"/>
    <x v="2"/>
    <x v="9"/>
    <n v="17"/>
    <n v="1684"/>
    <x v="600"/>
    <x v="1"/>
    <n v="1500"/>
    <n v="28628"/>
    <n v="3128"/>
    <n v="10.926365795724466"/>
    <n v="25500"/>
  </r>
  <r>
    <x v="12"/>
    <x v="10"/>
    <x v="1"/>
    <x v="4"/>
    <x v="0"/>
    <x v="8"/>
    <n v="44"/>
    <n v="2559"/>
    <x v="601"/>
    <x v="0"/>
    <n v="2000"/>
    <n v="112596"/>
    <n v="24596"/>
    <n v="21.844470496287613"/>
    <n v="88000"/>
  </r>
  <r>
    <x v="23"/>
    <x v="18"/>
    <x v="0"/>
    <x v="3"/>
    <x v="1"/>
    <x v="0"/>
    <n v="39"/>
    <n v="321"/>
    <x v="602"/>
    <x v="1"/>
    <n v="200"/>
    <n v="12519"/>
    <n v="4719"/>
    <n v="37.694704049844233"/>
    <n v="7800"/>
  </r>
  <r>
    <x v="7"/>
    <x v="7"/>
    <x v="3"/>
    <x v="0"/>
    <x v="8"/>
    <x v="2"/>
    <n v="32"/>
    <n v="1538"/>
    <x v="603"/>
    <x v="0"/>
    <n v="1250"/>
    <n v="49216"/>
    <n v="9216"/>
    <n v="18.725617685305593"/>
    <n v="40000"/>
  </r>
  <r>
    <x v="38"/>
    <x v="8"/>
    <x v="2"/>
    <x v="1"/>
    <x v="7"/>
    <x v="0"/>
    <n v="49"/>
    <n v="2430"/>
    <x v="604"/>
    <x v="0"/>
    <n v="1400"/>
    <n v="119070"/>
    <n v="50470"/>
    <n v="42.386831275720169"/>
    <n v="68600"/>
  </r>
  <r>
    <x v="73"/>
    <x v="4"/>
    <x v="4"/>
    <x v="6"/>
    <x v="7"/>
    <x v="4"/>
    <n v="5"/>
    <n v="1815"/>
    <x v="605"/>
    <x v="1"/>
    <n v="1500"/>
    <n v="9075"/>
    <n v="1575"/>
    <n v="17.355371900826448"/>
    <n v="7500"/>
  </r>
  <r>
    <x v="71"/>
    <x v="29"/>
    <x v="2"/>
    <x v="4"/>
    <x v="5"/>
    <x v="2"/>
    <n v="19"/>
    <n v="2734"/>
    <x v="606"/>
    <x v="0"/>
    <n v="2350"/>
    <n v="51946"/>
    <n v="7296"/>
    <n v="14.045354791514264"/>
    <n v="44650"/>
  </r>
  <r>
    <x v="14"/>
    <x v="12"/>
    <x v="4"/>
    <x v="0"/>
    <x v="0"/>
    <x v="1"/>
    <n v="50"/>
    <n v="1777"/>
    <x v="607"/>
    <x v="0"/>
    <n v="1350"/>
    <n v="88850"/>
    <n v="21350"/>
    <n v="24.029262802476083"/>
    <n v="67500"/>
  </r>
  <r>
    <x v="42"/>
    <x v="13"/>
    <x v="2"/>
    <x v="3"/>
    <x v="5"/>
    <x v="7"/>
    <n v="12"/>
    <n v="1429"/>
    <x v="608"/>
    <x v="1"/>
    <n v="950"/>
    <n v="17148"/>
    <n v="5748"/>
    <n v="33.519944016794959"/>
    <n v="11400"/>
  </r>
  <r>
    <x v="4"/>
    <x v="4"/>
    <x v="4"/>
    <x v="2"/>
    <x v="4"/>
    <x v="4"/>
    <n v="33"/>
    <n v="2054"/>
    <x v="609"/>
    <x v="0"/>
    <n v="1050"/>
    <n v="67782"/>
    <n v="33132"/>
    <n v="48.880233690360278"/>
    <n v="34650"/>
  </r>
  <r>
    <x v="30"/>
    <x v="15"/>
    <x v="3"/>
    <x v="7"/>
    <x v="1"/>
    <x v="7"/>
    <n v="33"/>
    <n v="1018"/>
    <x v="610"/>
    <x v="1"/>
    <n v="600"/>
    <n v="33594"/>
    <n v="13794"/>
    <n v="41.060903732809429"/>
    <n v="19800"/>
  </r>
  <r>
    <x v="43"/>
    <x v="11"/>
    <x v="0"/>
    <x v="4"/>
    <x v="2"/>
    <x v="3"/>
    <n v="46"/>
    <n v="2031"/>
    <x v="611"/>
    <x v="0"/>
    <n v="1450"/>
    <n v="93426"/>
    <n v="26726"/>
    <n v="28.606597735105861"/>
    <n v="66700"/>
  </r>
  <r>
    <x v="3"/>
    <x v="3"/>
    <x v="0"/>
    <x v="5"/>
    <x v="2"/>
    <x v="3"/>
    <n v="47"/>
    <n v="775"/>
    <x v="612"/>
    <x v="1"/>
    <n v="500"/>
    <n v="36425"/>
    <n v="12925"/>
    <n v="35.483870967741936"/>
    <n v="23500"/>
  </r>
  <r>
    <x v="20"/>
    <x v="15"/>
    <x v="2"/>
    <x v="1"/>
    <x v="5"/>
    <x v="0"/>
    <n v="43"/>
    <n v="2284"/>
    <x v="613"/>
    <x v="1"/>
    <n v="1400"/>
    <n v="98212"/>
    <n v="38012"/>
    <n v="38.704028021015766"/>
    <n v="60200"/>
  </r>
  <r>
    <x v="27"/>
    <x v="1"/>
    <x v="0"/>
    <x v="2"/>
    <x v="7"/>
    <x v="8"/>
    <n v="15"/>
    <n v="2695"/>
    <x v="614"/>
    <x v="0"/>
    <n v="1500"/>
    <n v="40425"/>
    <n v="17925"/>
    <n v="44.341372912801482"/>
    <n v="22500"/>
  </r>
  <r>
    <x v="29"/>
    <x v="21"/>
    <x v="0"/>
    <x v="4"/>
    <x v="1"/>
    <x v="6"/>
    <n v="31"/>
    <n v="1293"/>
    <x v="615"/>
    <x v="1"/>
    <n v="750"/>
    <n v="40083"/>
    <n v="16833"/>
    <n v="41.995359628770302"/>
    <n v="23250"/>
  </r>
  <r>
    <x v="51"/>
    <x v="9"/>
    <x v="0"/>
    <x v="5"/>
    <x v="1"/>
    <x v="8"/>
    <n v="39"/>
    <n v="498"/>
    <x v="616"/>
    <x v="1"/>
    <n v="400"/>
    <n v="19422"/>
    <n v="3822"/>
    <n v="19.678714859437751"/>
    <n v="15600"/>
  </r>
  <r>
    <x v="53"/>
    <x v="24"/>
    <x v="1"/>
    <x v="2"/>
    <x v="1"/>
    <x v="8"/>
    <n v="19"/>
    <n v="2709"/>
    <x v="617"/>
    <x v="1"/>
    <n v="1700"/>
    <n v="51471"/>
    <n v="19171"/>
    <n v="37.246216315983759"/>
    <n v="32300"/>
  </r>
  <r>
    <x v="67"/>
    <x v="30"/>
    <x v="0"/>
    <x v="0"/>
    <x v="3"/>
    <x v="5"/>
    <n v="30"/>
    <n v="2391"/>
    <x v="618"/>
    <x v="0"/>
    <n v="1950"/>
    <n v="71730"/>
    <n v="13230"/>
    <n v="18.444165621079048"/>
    <n v="58500"/>
  </r>
  <r>
    <x v="19"/>
    <x v="10"/>
    <x v="1"/>
    <x v="0"/>
    <x v="0"/>
    <x v="0"/>
    <n v="14"/>
    <n v="2683"/>
    <x v="619"/>
    <x v="0"/>
    <n v="2400"/>
    <n v="37562"/>
    <n v="3962"/>
    <n v="10.54789414834141"/>
    <n v="33600"/>
  </r>
  <r>
    <x v="78"/>
    <x v="12"/>
    <x v="3"/>
    <x v="2"/>
    <x v="8"/>
    <x v="6"/>
    <n v="7"/>
    <n v="2674"/>
    <x v="620"/>
    <x v="1"/>
    <n v="1450"/>
    <n v="18718"/>
    <n v="8568"/>
    <n v="45.774121166791325"/>
    <n v="10150"/>
  </r>
  <r>
    <x v="18"/>
    <x v="14"/>
    <x v="2"/>
    <x v="0"/>
    <x v="9"/>
    <x v="8"/>
    <n v="14"/>
    <n v="1549"/>
    <x v="621"/>
    <x v="0"/>
    <n v="800"/>
    <n v="21686"/>
    <n v="10486"/>
    <n v="48.353776630083928"/>
    <n v="11200"/>
  </r>
  <r>
    <x v="10"/>
    <x v="9"/>
    <x v="2"/>
    <x v="5"/>
    <x v="5"/>
    <x v="8"/>
    <n v="28"/>
    <n v="844"/>
    <x v="622"/>
    <x v="0"/>
    <n v="550"/>
    <n v="23632"/>
    <n v="8232"/>
    <n v="34.834123222748815"/>
    <n v="15400"/>
  </r>
  <r>
    <x v="22"/>
    <x v="17"/>
    <x v="0"/>
    <x v="3"/>
    <x v="6"/>
    <x v="3"/>
    <n v="22"/>
    <n v="2841"/>
    <x v="623"/>
    <x v="1"/>
    <n v="2100"/>
    <n v="62502"/>
    <n v="16302"/>
    <n v="26.082365364308341"/>
    <n v="46200"/>
  </r>
  <r>
    <x v="39"/>
    <x v="22"/>
    <x v="4"/>
    <x v="5"/>
    <x v="8"/>
    <x v="2"/>
    <n v="31"/>
    <n v="2562"/>
    <x v="624"/>
    <x v="1"/>
    <n v="2250"/>
    <n v="79422"/>
    <n v="9672"/>
    <n v="12.177985948477751"/>
    <n v="69750"/>
  </r>
  <r>
    <x v="28"/>
    <x v="20"/>
    <x v="1"/>
    <x v="1"/>
    <x v="9"/>
    <x v="5"/>
    <n v="41"/>
    <n v="679"/>
    <x v="625"/>
    <x v="1"/>
    <n v="500"/>
    <n v="27839"/>
    <n v="7339"/>
    <n v="26.362297496318117"/>
    <n v="20500"/>
  </r>
  <r>
    <x v="39"/>
    <x v="22"/>
    <x v="2"/>
    <x v="6"/>
    <x v="2"/>
    <x v="8"/>
    <n v="15"/>
    <n v="1919"/>
    <x v="626"/>
    <x v="1"/>
    <n v="1650"/>
    <n v="28785"/>
    <n v="4035"/>
    <n v="14.017717561229807"/>
    <n v="24750"/>
  </r>
  <r>
    <x v="6"/>
    <x v="6"/>
    <x v="1"/>
    <x v="5"/>
    <x v="0"/>
    <x v="5"/>
    <n v="27"/>
    <n v="2843"/>
    <x v="627"/>
    <x v="1"/>
    <n v="2050"/>
    <n v="76761"/>
    <n v="21411"/>
    <n v="27.893070699964827"/>
    <n v="55350"/>
  </r>
  <r>
    <x v="39"/>
    <x v="22"/>
    <x v="4"/>
    <x v="2"/>
    <x v="6"/>
    <x v="6"/>
    <n v="39"/>
    <n v="1975"/>
    <x v="628"/>
    <x v="0"/>
    <n v="1200"/>
    <n v="77025"/>
    <n v="30225"/>
    <n v="39.24050632911392"/>
    <n v="46800"/>
  </r>
  <r>
    <x v="2"/>
    <x v="2"/>
    <x v="1"/>
    <x v="4"/>
    <x v="6"/>
    <x v="8"/>
    <n v="17"/>
    <n v="2348"/>
    <x v="629"/>
    <x v="0"/>
    <n v="1900"/>
    <n v="39916"/>
    <n v="7616"/>
    <n v="19.080068143100512"/>
    <n v="32300"/>
  </r>
  <r>
    <x v="53"/>
    <x v="24"/>
    <x v="2"/>
    <x v="6"/>
    <x v="4"/>
    <x v="1"/>
    <n v="17"/>
    <n v="1611"/>
    <x v="630"/>
    <x v="1"/>
    <n v="1000"/>
    <n v="27387"/>
    <n v="10387"/>
    <n v="37.92675356921167"/>
    <n v="17000"/>
  </r>
  <r>
    <x v="73"/>
    <x v="4"/>
    <x v="3"/>
    <x v="7"/>
    <x v="0"/>
    <x v="7"/>
    <n v="46"/>
    <n v="2182"/>
    <x v="631"/>
    <x v="1"/>
    <n v="1250"/>
    <n v="100372"/>
    <n v="42872"/>
    <n v="42.713107241063248"/>
    <n v="57500"/>
  </r>
  <r>
    <x v="40"/>
    <x v="25"/>
    <x v="0"/>
    <x v="0"/>
    <x v="4"/>
    <x v="3"/>
    <n v="36"/>
    <n v="555"/>
    <x v="632"/>
    <x v="0"/>
    <n v="450"/>
    <n v="19980"/>
    <n v="3780"/>
    <n v="18.918918918918919"/>
    <n v="16200"/>
  </r>
  <r>
    <x v="64"/>
    <x v="23"/>
    <x v="3"/>
    <x v="0"/>
    <x v="9"/>
    <x v="3"/>
    <n v="46"/>
    <n v="489"/>
    <x v="633"/>
    <x v="0"/>
    <n v="400"/>
    <n v="22494"/>
    <n v="4094"/>
    <n v="18.200408997955012"/>
    <n v="18400"/>
  </r>
  <r>
    <x v="7"/>
    <x v="7"/>
    <x v="2"/>
    <x v="3"/>
    <x v="7"/>
    <x v="7"/>
    <n v="39"/>
    <n v="2050"/>
    <x v="634"/>
    <x v="0"/>
    <n v="1400"/>
    <n v="79950"/>
    <n v="25350"/>
    <n v="31.707317073170731"/>
    <n v="54600"/>
  </r>
  <r>
    <x v="81"/>
    <x v="13"/>
    <x v="0"/>
    <x v="3"/>
    <x v="1"/>
    <x v="9"/>
    <n v="13"/>
    <n v="692"/>
    <x v="635"/>
    <x v="0"/>
    <n v="450"/>
    <n v="8996"/>
    <n v="3146"/>
    <n v="34.971098265895954"/>
    <n v="5850"/>
  </r>
  <r>
    <x v="56"/>
    <x v="15"/>
    <x v="2"/>
    <x v="1"/>
    <x v="4"/>
    <x v="1"/>
    <n v="35"/>
    <n v="681"/>
    <x v="636"/>
    <x v="1"/>
    <n v="400"/>
    <n v="23835"/>
    <n v="9835"/>
    <n v="41.262848751835534"/>
    <n v="14000"/>
  </r>
  <r>
    <x v="66"/>
    <x v="21"/>
    <x v="2"/>
    <x v="3"/>
    <x v="6"/>
    <x v="0"/>
    <n v="26"/>
    <n v="1636"/>
    <x v="637"/>
    <x v="1"/>
    <n v="1200"/>
    <n v="42536"/>
    <n v="11336"/>
    <n v="26.65036674816626"/>
    <n v="31200"/>
  </r>
  <r>
    <x v="63"/>
    <x v="28"/>
    <x v="3"/>
    <x v="7"/>
    <x v="3"/>
    <x v="1"/>
    <n v="30"/>
    <n v="2795"/>
    <x v="638"/>
    <x v="1"/>
    <n v="1750"/>
    <n v="83850"/>
    <n v="31350"/>
    <n v="37.388193202146688"/>
    <n v="52500"/>
  </r>
  <r>
    <x v="14"/>
    <x v="12"/>
    <x v="0"/>
    <x v="2"/>
    <x v="1"/>
    <x v="3"/>
    <n v="18"/>
    <n v="2846"/>
    <x v="639"/>
    <x v="0"/>
    <n v="2500"/>
    <n v="51228"/>
    <n v="6228"/>
    <n v="12.157413914265636"/>
    <n v="45000"/>
  </r>
  <r>
    <x v="4"/>
    <x v="4"/>
    <x v="4"/>
    <x v="6"/>
    <x v="9"/>
    <x v="1"/>
    <n v="24"/>
    <n v="366"/>
    <x v="640"/>
    <x v="1"/>
    <n v="200"/>
    <n v="8784"/>
    <n v="3984"/>
    <n v="45.355191256830601"/>
    <n v="4800"/>
  </r>
  <r>
    <x v="13"/>
    <x v="11"/>
    <x v="0"/>
    <x v="1"/>
    <x v="9"/>
    <x v="3"/>
    <n v="45"/>
    <n v="990"/>
    <x v="641"/>
    <x v="0"/>
    <n v="750"/>
    <n v="44550"/>
    <n v="10800"/>
    <n v="24.242424242424242"/>
    <n v="33750"/>
  </r>
  <r>
    <x v="16"/>
    <x v="7"/>
    <x v="1"/>
    <x v="2"/>
    <x v="9"/>
    <x v="2"/>
    <n v="24"/>
    <n v="1957"/>
    <x v="642"/>
    <x v="0"/>
    <n v="1250"/>
    <n v="46968"/>
    <n v="16968"/>
    <n v="36.126724578436381"/>
    <n v="30000"/>
  </r>
  <r>
    <x v="55"/>
    <x v="28"/>
    <x v="0"/>
    <x v="2"/>
    <x v="8"/>
    <x v="3"/>
    <n v="18"/>
    <n v="2766"/>
    <x v="643"/>
    <x v="0"/>
    <n v="1600"/>
    <n v="49788"/>
    <n v="20988"/>
    <n v="42.154736080983369"/>
    <n v="28800"/>
  </r>
  <r>
    <x v="12"/>
    <x v="10"/>
    <x v="3"/>
    <x v="4"/>
    <x v="3"/>
    <x v="7"/>
    <n v="5"/>
    <n v="865"/>
    <x v="644"/>
    <x v="0"/>
    <n v="650"/>
    <n v="4325"/>
    <n v="1075"/>
    <n v="24.855491329479769"/>
    <n v="3250"/>
  </r>
  <r>
    <x v="55"/>
    <x v="28"/>
    <x v="3"/>
    <x v="0"/>
    <x v="7"/>
    <x v="7"/>
    <n v="10"/>
    <n v="2557"/>
    <x v="645"/>
    <x v="1"/>
    <n v="2100"/>
    <n v="25570"/>
    <n v="4570"/>
    <n v="17.872506843957765"/>
    <n v="21000"/>
  </r>
  <r>
    <x v="11"/>
    <x v="1"/>
    <x v="1"/>
    <x v="6"/>
    <x v="3"/>
    <x v="5"/>
    <n v="33"/>
    <n v="1881"/>
    <x v="646"/>
    <x v="1"/>
    <n v="1050"/>
    <n v="62073"/>
    <n v="27423"/>
    <n v="44.178628389154703"/>
    <n v="34650"/>
  </r>
  <r>
    <x v="49"/>
    <x v="6"/>
    <x v="2"/>
    <x v="2"/>
    <x v="4"/>
    <x v="8"/>
    <n v="48"/>
    <n v="2135"/>
    <x v="647"/>
    <x v="1"/>
    <n v="1850"/>
    <n v="102480"/>
    <n v="13680"/>
    <n v="13.348946135831383"/>
    <n v="88800"/>
  </r>
  <r>
    <x v="43"/>
    <x v="11"/>
    <x v="2"/>
    <x v="0"/>
    <x v="0"/>
    <x v="0"/>
    <n v="38"/>
    <n v="2390"/>
    <x v="648"/>
    <x v="1"/>
    <n v="1450"/>
    <n v="90820"/>
    <n v="35720"/>
    <n v="39.330543933054393"/>
    <n v="55100"/>
  </r>
  <r>
    <x v="54"/>
    <x v="18"/>
    <x v="4"/>
    <x v="5"/>
    <x v="7"/>
    <x v="6"/>
    <n v="11"/>
    <n v="2575"/>
    <x v="649"/>
    <x v="0"/>
    <n v="2100"/>
    <n v="28325"/>
    <n v="5225"/>
    <n v="18.446601941747574"/>
    <n v="23100"/>
  </r>
  <r>
    <x v="10"/>
    <x v="9"/>
    <x v="2"/>
    <x v="2"/>
    <x v="9"/>
    <x v="6"/>
    <n v="41"/>
    <n v="602"/>
    <x v="650"/>
    <x v="1"/>
    <n v="500"/>
    <n v="24682"/>
    <n v="4182"/>
    <n v="16.943521594684384"/>
    <n v="20500"/>
  </r>
  <r>
    <x v="62"/>
    <x v="20"/>
    <x v="0"/>
    <x v="4"/>
    <x v="0"/>
    <x v="7"/>
    <n v="36"/>
    <n v="2990"/>
    <x v="651"/>
    <x v="1"/>
    <n v="1650"/>
    <n v="107640"/>
    <n v="48240"/>
    <n v="44.816053511705682"/>
    <n v="59400"/>
  </r>
  <r>
    <x v="82"/>
    <x v="27"/>
    <x v="3"/>
    <x v="7"/>
    <x v="4"/>
    <x v="1"/>
    <n v="47"/>
    <n v="1769"/>
    <x v="652"/>
    <x v="0"/>
    <n v="1200"/>
    <n v="83143"/>
    <n v="26743"/>
    <n v="32.165065008479367"/>
    <n v="56400"/>
  </r>
  <r>
    <x v="74"/>
    <x v="19"/>
    <x v="2"/>
    <x v="1"/>
    <x v="3"/>
    <x v="6"/>
    <n v="33"/>
    <n v="2513"/>
    <x v="653"/>
    <x v="1"/>
    <n v="2150"/>
    <n v="82929"/>
    <n v="11979"/>
    <n v="14.444886589733386"/>
    <n v="70950"/>
  </r>
  <r>
    <x v="79"/>
    <x v="24"/>
    <x v="4"/>
    <x v="3"/>
    <x v="6"/>
    <x v="4"/>
    <n v="42"/>
    <n v="909"/>
    <x v="654"/>
    <x v="0"/>
    <n v="800"/>
    <n v="38178"/>
    <n v="4578"/>
    <n v="11.991199119911991"/>
    <n v="33600"/>
  </r>
  <r>
    <x v="25"/>
    <x v="8"/>
    <x v="2"/>
    <x v="0"/>
    <x v="2"/>
    <x v="1"/>
    <n v="42"/>
    <n v="1262"/>
    <x v="655"/>
    <x v="1"/>
    <n v="800"/>
    <n v="53004"/>
    <n v="19404"/>
    <n v="36.608557844690964"/>
    <n v="33600"/>
  </r>
  <r>
    <x v="63"/>
    <x v="28"/>
    <x v="1"/>
    <x v="0"/>
    <x v="0"/>
    <x v="7"/>
    <n v="39"/>
    <n v="729"/>
    <x v="656"/>
    <x v="1"/>
    <n v="400"/>
    <n v="28431"/>
    <n v="12831"/>
    <n v="45.130315500685867"/>
    <n v="15600"/>
  </r>
  <r>
    <x v="8"/>
    <x v="8"/>
    <x v="0"/>
    <x v="1"/>
    <x v="9"/>
    <x v="8"/>
    <n v="8"/>
    <n v="660"/>
    <x v="657"/>
    <x v="0"/>
    <n v="500"/>
    <n v="5280"/>
    <n v="1280"/>
    <n v="24.242424242424242"/>
    <n v="4000"/>
  </r>
  <r>
    <x v="56"/>
    <x v="15"/>
    <x v="4"/>
    <x v="3"/>
    <x v="1"/>
    <x v="8"/>
    <n v="11"/>
    <n v="986"/>
    <x v="658"/>
    <x v="1"/>
    <n v="850"/>
    <n v="10846"/>
    <n v="1496"/>
    <n v="13.793103448275861"/>
    <n v="9350"/>
  </r>
  <r>
    <x v="65"/>
    <x v="25"/>
    <x v="4"/>
    <x v="4"/>
    <x v="4"/>
    <x v="4"/>
    <n v="42"/>
    <n v="2438"/>
    <x v="659"/>
    <x v="1"/>
    <n v="1850"/>
    <n v="102396"/>
    <n v="24696"/>
    <n v="24.118129614438065"/>
    <n v="77700"/>
  </r>
  <r>
    <x v="28"/>
    <x v="20"/>
    <x v="1"/>
    <x v="1"/>
    <x v="0"/>
    <x v="5"/>
    <n v="8"/>
    <n v="1041"/>
    <x v="660"/>
    <x v="1"/>
    <n v="800"/>
    <n v="8328"/>
    <n v="1928"/>
    <n v="23.150816522574445"/>
    <n v="6400"/>
  </r>
  <r>
    <x v="20"/>
    <x v="15"/>
    <x v="0"/>
    <x v="5"/>
    <x v="5"/>
    <x v="5"/>
    <n v="27"/>
    <n v="1417"/>
    <x v="661"/>
    <x v="1"/>
    <n v="1150"/>
    <n v="38259"/>
    <n v="7209"/>
    <n v="18.842625264643615"/>
    <n v="31050"/>
  </r>
  <r>
    <x v="14"/>
    <x v="12"/>
    <x v="0"/>
    <x v="5"/>
    <x v="5"/>
    <x v="3"/>
    <n v="33"/>
    <n v="363"/>
    <x v="662"/>
    <x v="1"/>
    <n v="300"/>
    <n v="11979"/>
    <n v="2079"/>
    <n v="17.355371900826448"/>
    <n v="9900"/>
  </r>
  <r>
    <x v="55"/>
    <x v="28"/>
    <x v="4"/>
    <x v="2"/>
    <x v="8"/>
    <x v="1"/>
    <n v="16"/>
    <n v="2120"/>
    <x v="663"/>
    <x v="0"/>
    <n v="1050"/>
    <n v="33920"/>
    <n v="17120"/>
    <n v="50.471698113207552"/>
    <n v="16800"/>
  </r>
  <r>
    <x v="17"/>
    <x v="13"/>
    <x v="3"/>
    <x v="7"/>
    <x v="1"/>
    <x v="4"/>
    <n v="10"/>
    <n v="1388"/>
    <x v="664"/>
    <x v="1"/>
    <n v="950"/>
    <n v="13880"/>
    <n v="4380"/>
    <n v="31.556195965417867"/>
    <n v="9500"/>
  </r>
  <r>
    <x v="0"/>
    <x v="0"/>
    <x v="4"/>
    <x v="1"/>
    <x v="3"/>
    <x v="1"/>
    <n v="22"/>
    <n v="867"/>
    <x v="665"/>
    <x v="0"/>
    <n v="750"/>
    <n v="19074"/>
    <n v="2574"/>
    <n v="13.494809688581316"/>
    <n v="16500"/>
  </r>
  <r>
    <x v="3"/>
    <x v="3"/>
    <x v="4"/>
    <x v="5"/>
    <x v="5"/>
    <x v="4"/>
    <n v="25"/>
    <n v="1367"/>
    <x v="666"/>
    <x v="0"/>
    <n v="750"/>
    <n v="34175"/>
    <n v="15425"/>
    <n v="45.135332845647405"/>
    <n v="18750"/>
  </r>
  <r>
    <x v="25"/>
    <x v="8"/>
    <x v="2"/>
    <x v="1"/>
    <x v="3"/>
    <x v="1"/>
    <n v="49"/>
    <n v="1430"/>
    <x v="667"/>
    <x v="0"/>
    <n v="900"/>
    <n v="70070"/>
    <n v="25970"/>
    <n v="37.06293706293706"/>
    <n v="44100"/>
  </r>
  <r>
    <x v="10"/>
    <x v="9"/>
    <x v="2"/>
    <x v="6"/>
    <x v="6"/>
    <x v="4"/>
    <n v="29"/>
    <n v="1878"/>
    <x v="668"/>
    <x v="1"/>
    <n v="1000"/>
    <n v="54462"/>
    <n v="25462"/>
    <n v="46.751863684771031"/>
    <n v="29000"/>
  </r>
  <r>
    <x v="49"/>
    <x v="6"/>
    <x v="4"/>
    <x v="5"/>
    <x v="4"/>
    <x v="1"/>
    <n v="34"/>
    <n v="1714"/>
    <x v="669"/>
    <x v="1"/>
    <n v="1000"/>
    <n v="58276"/>
    <n v="24276"/>
    <n v="41.656942823803966"/>
    <n v="34000"/>
  </r>
  <r>
    <x v="82"/>
    <x v="27"/>
    <x v="3"/>
    <x v="3"/>
    <x v="4"/>
    <x v="8"/>
    <n v="16"/>
    <n v="1698"/>
    <x v="670"/>
    <x v="0"/>
    <n v="1500"/>
    <n v="27168"/>
    <n v="3168"/>
    <n v="11.66077738515901"/>
    <n v="24000"/>
  </r>
  <r>
    <x v="13"/>
    <x v="11"/>
    <x v="2"/>
    <x v="7"/>
    <x v="5"/>
    <x v="3"/>
    <n v="6"/>
    <n v="1769"/>
    <x v="671"/>
    <x v="1"/>
    <n v="950"/>
    <n v="10614"/>
    <n v="4914"/>
    <n v="46.297343131712829"/>
    <n v="5700"/>
  </r>
  <r>
    <x v="22"/>
    <x v="17"/>
    <x v="3"/>
    <x v="3"/>
    <x v="5"/>
    <x v="8"/>
    <n v="47"/>
    <n v="834"/>
    <x v="672"/>
    <x v="0"/>
    <n v="650"/>
    <n v="39198"/>
    <n v="8648"/>
    <n v="22.062350119904075"/>
    <n v="30550"/>
  </r>
  <r>
    <x v="53"/>
    <x v="24"/>
    <x v="0"/>
    <x v="1"/>
    <x v="3"/>
    <x v="7"/>
    <n v="27"/>
    <n v="1467"/>
    <x v="673"/>
    <x v="1"/>
    <n v="1200"/>
    <n v="39609"/>
    <n v="7209"/>
    <n v="18.200408997955012"/>
    <n v="32400"/>
  </r>
  <r>
    <x v="18"/>
    <x v="14"/>
    <x v="4"/>
    <x v="3"/>
    <x v="4"/>
    <x v="1"/>
    <n v="9"/>
    <n v="1223"/>
    <x v="674"/>
    <x v="0"/>
    <n v="850"/>
    <n v="11007"/>
    <n v="3357"/>
    <n v="30.498773507767783"/>
    <n v="7650"/>
  </r>
  <r>
    <x v="29"/>
    <x v="21"/>
    <x v="1"/>
    <x v="7"/>
    <x v="2"/>
    <x v="8"/>
    <n v="7"/>
    <n v="1491"/>
    <x v="675"/>
    <x v="1"/>
    <n v="1300"/>
    <n v="10437"/>
    <n v="1337"/>
    <n v="12.810194500335346"/>
    <n v="9100"/>
  </r>
  <r>
    <x v="76"/>
    <x v="20"/>
    <x v="4"/>
    <x v="6"/>
    <x v="5"/>
    <x v="1"/>
    <n v="44"/>
    <n v="845"/>
    <x v="676"/>
    <x v="0"/>
    <n v="700"/>
    <n v="37180"/>
    <n v="6380"/>
    <n v="17.159763313609467"/>
    <n v="30800"/>
  </r>
  <r>
    <x v="58"/>
    <x v="18"/>
    <x v="1"/>
    <x v="1"/>
    <x v="5"/>
    <x v="7"/>
    <n v="43"/>
    <n v="1883"/>
    <x v="677"/>
    <x v="1"/>
    <n v="1300"/>
    <n v="80969"/>
    <n v="25069"/>
    <n v="30.96123207647371"/>
    <n v="55900"/>
  </r>
  <r>
    <x v="81"/>
    <x v="13"/>
    <x v="0"/>
    <x v="3"/>
    <x v="3"/>
    <x v="0"/>
    <n v="16"/>
    <n v="1379"/>
    <x v="678"/>
    <x v="0"/>
    <n v="700"/>
    <n v="22064"/>
    <n v="10864"/>
    <n v="49.238578680203041"/>
    <n v="11200"/>
  </r>
  <r>
    <x v="30"/>
    <x v="15"/>
    <x v="1"/>
    <x v="1"/>
    <x v="1"/>
    <x v="8"/>
    <n v="44"/>
    <n v="2861"/>
    <x v="679"/>
    <x v="0"/>
    <n v="2450"/>
    <n v="125884"/>
    <n v="18084"/>
    <n v="14.365606431317721"/>
    <n v="107800"/>
  </r>
  <r>
    <x v="25"/>
    <x v="8"/>
    <x v="2"/>
    <x v="6"/>
    <x v="6"/>
    <x v="1"/>
    <n v="34"/>
    <n v="716"/>
    <x v="680"/>
    <x v="1"/>
    <n v="500"/>
    <n v="24344"/>
    <n v="7344"/>
    <n v="30.16759776536313"/>
    <n v="17000"/>
  </r>
  <r>
    <x v="59"/>
    <x v="0"/>
    <x v="2"/>
    <x v="4"/>
    <x v="1"/>
    <x v="4"/>
    <n v="26"/>
    <n v="888"/>
    <x v="681"/>
    <x v="1"/>
    <n v="700"/>
    <n v="23088"/>
    <n v="4888"/>
    <n v="21.171171171171171"/>
    <n v="18200"/>
  </r>
  <r>
    <x v="31"/>
    <x v="22"/>
    <x v="3"/>
    <x v="4"/>
    <x v="1"/>
    <x v="6"/>
    <n v="11"/>
    <n v="1411"/>
    <x v="682"/>
    <x v="0"/>
    <n v="950"/>
    <n v="15521"/>
    <n v="5071"/>
    <n v="32.671863926293412"/>
    <n v="10450"/>
  </r>
  <r>
    <x v="78"/>
    <x v="12"/>
    <x v="0"/>
    <x v="0"/>
    <x v="1"/>
    <x v="7"/>
    <n v="12"/>
    <n v="1104"/>
    <x v="683"/>
    <x v="0"/>
    <n v="700"/>
    <n v="13248"/>
    <n v="4848"/>
    <n v="36.594202898550726"/>
    <n v="8400"/>
  </r>
  <r>
    <x v="76"/>
    <x v="20"/>
    <x v="4"/>
    <x v="6"/>
    <x v="3"/>
    <x v="8"/>
    <n v="12"/>
    <n v="945"/>
    <x v="684"/>
    <x v="0"/>
    <n v="600"/>
    <n v="11340"/>
    <n v="4140"/>
    <n v="36.507936507936506"/>
    <n v="7200"/>
  </r>
  <r>
    <x v="66"/>
    <x v="21"/>
    <x v="1"/>
    <x v="2"/>
    <x v="9"/>
    <x v="7"/>
    <n v="22"/>
    <n v="991"/>
    <x v="685"/>
    <x v="1"/>
    <n v="600"/>
    <n v="21802"/>
    <n v="8602"/>
    <n v="39.455095862764885"/>
    <n v="13200"/>
  </r>
  <r>
    <x v="16"/>
    <x v="7"/>
    <x v="1"/>
    <x v="3"/>
    <x v="8"/>
    <x v="2"/>
    <n v="8"/>
    <n v="427"/>
    <x v="686"/>
    <x v="1"/>
    <n v="300"/>
    <n v="3416"/>
    <n v="1016"/>
    <n v="29.742388758782202"/>
    <n v="2400"/>
  </r>
  <r>
    <x v="77"/>
    <x v="6"/>
    <x v="4"/>
    <x v="2"/>
    <x v="1"/>
    <x v="3"/>
    <n v="45"/>
    <n v="2699"/>
    <x v="687"/>
    <x v="1"/>
    <n v="1750"/>
    <n v="121455"/>
    <n v="42705"/>
    <n v="35.161170804001486"/>
    <n v="78750"/>
  </r>
  <r>
    <x v="87"/>
    <x v="30"/>
    <x v="4"/>
    <x v="2"/>
    <x v="8"/>
    <x v="3"/>
    <n v="5"/>
    <n v="1473"/>
    <x v="688"/>
    <x v="1"/>
    <n v="1150"/>
    <n v="7365"/>
    <n v="1615"/>
    <n v="21.928038017651051"/>
    <n v="5750"/>
  </r>
  <r>
    <x v="6"/>
    <x v="6"/>
    <x v="4"/>
    <x v="4"/>
    <x v="4"/>
    <x v="5"/>
    <n v="6"/>
    <n v="2559"/>
    <x v="689"/>
    <x v="0"/>
    <n v="1850"/>
    <n v="15354"/>
    <n v="4254"/>
    <n v="27.706135209066041"/>
    <n v="11100"/>
  </r>
  <r>
    <x v="20"/>
    <x v="15"/>
    <x v="4"/>
    <x v="5"/>
    <x v="8"/>
    <x v="2"/>
    <n v="31"/>
    <n v="2455"/>
    <x v="690"/>
    <x v="1"/>
    <n v="2100"/>
    <n v="76105"/>
    <n v="11005"/>
    <n v="14.460285132382891"/>
    <n v="65100"/>
  </r>
  <r>
    <x v="6"/>
    <x v="6"/>
    <x v="0"/>
    <x v="3"/>
    <x v="5"/>
    <x v="0"/>
    <n v="29"/>
    <n v="1810"/>
    <x v="691"/>
    <x v="0"/>
    <n v="1150"/>
    <n v="52490"/>
    <n v="19140"/>
    <n v="36.464088397790057"/>
    <n v="33350"/>
  </r>
  <r>
    <x v="19"/>
    <x v="10"/>
    <x v="3"/>
    <x v="6"/>
    <x v="9"/>
    <x v="5"/>
    <n v="32"/>
    <n v="1004"/>
    <x v="692"/>
    <x v="0"/>
    <n v="650"/>
    <n v="32128"/>
    <n v="11328"/>
    <n v="35.258964143426297"/>
    <n v="20800"/>
  </r>
  <r>
    <x v="80"/>
    <x v="30"/>
    <x v="1"/>
    <x v="0"/>
    <x v="1"/>
    <x v="8"/>
    <n v="6"/>
    <n v="1020"/>
    <x v="693"/>
    <x v="0"/>
    <n v="600"/>
    <n v="6120"/>
    <n v="2520"/>
    <n v="41.17647058823529"/>
    <n v="3600"/>
  </r>
  <r>
    <x v="37"/>
    <x v="5"/>
    <x v="2"/>
    <x v="6"/>
    <x v="3"/>
    <x v="3"/>
    <n v="19"/>
    <n v="313"/>
    <x v="694"/>
    <x v="1"/>
    <n v="250"/>
    <n v="5947"/>
    <n v="1197"/>
    <n v="20.12779552715655"/>
    <n v="4750"/>
  </r>
  <r>
    <x v="10"/>
    <x v="9"/>
    <x v="2"/>
    <x v="6"/>
    <x v="6"/>
    <x v="5"/>
    <n v="30"/>
    <n v="1296"/>
    <x v="695"/>
    <x v="1"/>
    <n v="750"/>
    <n v="38880"/>
    <n v="16380"/>
    <n v="42.129629629629626"/>
    <n v="22500"/>
  </r>
  <r>
    <x v="84"/>
    <x v="2"/>
    <x v="1"/>
    <x v="1"/>
    <x v="2"/>
    <x v="9"/>
    <n v="9"/>
    <n v="2068"/>
    <x v="696"/>
    <x v="0"/>
    <n v="1200"/>
    <n v="18612"/>
    <n v="7812"/>
    <n v="41.972920696324948"/>
    <n v="10800"/>
  </r>
  <r>
    <x v="34"/>
    <x v="12"/>
    <x v="2"/>
    <x v="4"/>
    <x v="9"/>
    <x v="8"/>
    <n v="19"/>
    <n v="1506"/>
    <x v="697"/>
    <x v="1"/>
    <n v="1000"/>
    <n v="28614"/>
    <n v="9614"/>
    <n v="33.598937583001323"/>
    <n v="19000"/>
  </r>
  <r>
    <x v="33"/>
    <x v="23"/>
    <x v="2"/>
    <x v="0"/>
    <x v="4"/>
    <x v="4"/>
    <n v="26"/>
    <n v="1673"/>
    <x v="698"/>
    <x v="1"/>
    <n v="1350"/>
    <n v="43498"/>
    <n v="8398"/>
    <n v="19.306634787806338"/>
    <n v="35100"/>
  </r>
  <r>
    <x v="31"/>
    <x v="22"/>
    <x v="0"/>
    <x v="2"/>
    <x v="2"/>
    <x v="3"/>
    <n v="47"/>
    <n v="1623"/>
    <x v="699"/>
    <x v="0"/>
    <n v="950"/>
    <n v="76281"/>
    <n v="31631"/>
    <n v="41.466420209488604"/>
    <n v="44650"/>
  </r>
  <r>
    <x v="44"/>
    <x v="25"/>
    <x v="0"/>
    <x v="6"/>
    <x v="7"/>
    <x v="9"/>
    <n v="22"/>
    <n v="1401"/>
    <x v="700"/>
    <x v="1"/>
    <n v="1200"/>
    <n v="30822"/>
    <n v="4422"/>
    <n v="14.346895074946467"/>
    <n v="26400"/>
  </r>
  <r>
    <x v="57"/>
    <x v="29"/>
    <x v="2"/>
    <x v="4"/>
    <x v="2"/>
    <x v="5"/>
    <n v="46"/>
    <n v="307"/>
    <x v="701"/>
    <x v="0"/>
    <n v="200"/>
    <n v="14122"/>
    <n v="4922"/>
    <n v="34.853420195439739"/>
    <n v="9200"/>
  </r>
  <r>
    <x v="56"/>
    <x v="15"/>
    <x v="4"/>
    <x v="2"/>
    <x v="9"/>
    <x v="3"/>
    <n v="14"/>
    <n v="2024"/>
    <x v="702"/>
    <x v="0"/>
    <n v="1050"/>
    <n v="28336"/>
    <n v="13636"/>
    <n v="48.122529644268774"/>
    <n v="14700"/>
  </r>
  <r>
    <x v="29"/>
    <x v="21"/>
    <x v="0"/>
    <x v="3"/>
    <x v="1"/>
    <x v="0"/>
    <n v="14"/>
    <n v="454"/>
    <x v="703"/>
    <x v="1"/>
    <n v="400"/>
    <n v="6356"/>
    <n v="756"/>
    <n v="11.894273127753303"/>
    <n v="5600"/>
  </r>
  <r>
    <x v="33"/>
    <x v="23"/>
    <x v="4"/>
    <x v="5"/>
    <x v="4"/>
    <x v="2"/>
    <n v="7"/>
    <n v="1680"/>
    <x v="704"/>
    <x v="0"/>
    <n v="1350"/>
    <n v="11760"/>
    <n v="2310"/>
    <n v="19.642857142857142"/>
    <n v="9450"/>
  </r>
  <r>
    <x v="13"/>
    <x v="11"/>
    <x v="4"/>
    <x v="0"/>
    <x v="3"/>
    <x v="7"/>
    <n v="50"/>
    <n v="652"/>
    <x v="705"/>
    <x v="1"/>
    <n v="350"/>
    <n v="32600"/>
    <n v="15100"/>
    <n v="46.319018404907972"/>
    <n v="17500"/>
  </r>
  <r>
    <x v="65"/>
    <x v="25"/>
    <x v="4"/>
    <x v="2"/>
    <x v="4"/>
    <x v="7"/>
    <n v="5"/>
    <n v="702"/>
    <x v="706"/>
    <x v="0"/>
    <n v="400"/>
    <n v="3510"/>
    <n v="1510"/>
    <n v="43.019943019943021"/>
    <n v="2000"/>
  </r>
  <r>
    <x v="25"/>
    <x v="8"/>
    <x v="1"/>
    <x v="5"/>
    <x v="2"/>
    <x v="7"/>
    <n v="32"/>
    <n v="2158"/>
    <x v="707"/>
    <x v="0"/>
    <n v="1350"/>
    <n v="69056"/>
    <n v="25856"/>
    <n v="37.442075996292864"/>
    <n v="43200"/>
  </r>
  <r>
    <x v="64"/>
    <x v="23"/>
    <x v="0"/>
    <x v="0"/>
    <x v="0"/>
    <x v="4"/>
    <n v="11"/>
    <n v="2547"/>
    <x v="708"/>
    <x v="1"/>
    <n v="2000"/>
    <n v="28017"/>
    <n v="6017"/>
    <n v="21.476246564585789"/>
    <n v="22000"/>
  </r>
  <r>
    <x v="71"/>
    <x v="29"/>
    <x v="4"/>
    <x v="1"/>
    <x v="6"/>
    <x v="8"/>
    <n v="30"/>
    <n v="2467"/>
    <x v="709"/>
    <x v="1"/>
    <n v="2100"/>
    <n v="74010"/>
    <n v="11010"/>
    <n v="14.87636805837049"/>
    <n v="63000"/>
  </r>
  <r>
    <x v="52"/>
    <x v="27"/>
    <x v="0"/>
    <x v="4"/>
    <x v="3"/>
    <x v="1"/>
    <n v="43"/>
    <n v="2564"/>
    <x v="710"/>
    <x v="1"/>
    <n v="2250"/>
    <n v="110252"/>
    <n v="13502"/>
    <n v="12.246489859594384"/>
    <n v="96750"/>
  </r>
  <r>
    <x v="3"/>
    <x v="3"/>
    <x v="4"/>
    <x v="5"/>
    <x v="5"/>
    <x v="6"/>
    <n v="45"/>
    <n v="1653"/>
    <x v="711"/>
    <x v="1"/>
    <n v="850"/>
    <n v="74385"/>
    <n v="36135"/>
    <n v="48.578342407743499"/>
    <n v="38250"/>
  </r>
  <r>
    <x v="34"/>
    <x v="12"/>
    <x v="4"/>
    <x v="7"/>
    <x v="3"/>
    <x v="5"/>
    <n v="35"/>
    <n v="316"/>
    <x v="712"/>
    <x v="0"/>
    <n v="200"/>
    <n v="11060"/>
    <n v="4060"/>
    <n v="36.708860759493675"/>
    <n v="7000"/>
  </r>
  <r>
    <x v="16"/>
    <x v="7"/>
    <x v="3"/>
    <x v="0"/>
    <x v="7"/>
    <x v="4"/>
    <n v="37"/>
    <n v="2336"/>
    <x v="713"/>
    <x v="1"/>
    <n v="1300"/>
    <n v="86432"/>
    <n v="38332"/>
    <n v="44.349315068493148"/>
    <n v="48100"/>
  </r>
  <r>
    <x v="77"/>
    <x v="6"/>
    <x v="0"/>
    <x v="6"/>
    <x v="4"/>
    <x v="2"/>
    <n v="37"/>
    <n v="1048"/>
    <x v="714"/>
    <x v="1"/>
    <n v="700"/>
    <n v="38776"/>
    <n v="12876"/>
    <n v="33.206106870229007"/>
    <n v="25900"/>
  </r>
  <r>
    <x v="51"/>
    <x v="9"/>
    <x v="1"/>
    <x v="2"/>
    <x v="8"/>
    <x v="7"/>
    <n v="21"/>
    <n v="2351"/>
    <x v="715"/>
    <x v="1"/>
    <n v="1500"/>
    <n v="49371"/>
    <n v="17871"/>
    <n v="36.197362824330071"/>
    <n v="31500"/>
  </r>
  <r>
    <x v="6"/>
    <x v="6"/>
    <x v="1"/>
    <x v="5"/>
    <x v="9"/>
    <x v="8"/>
    <n v="22"/>
    <n v="2300"/>
    <x v="716"/>
    <x v="1"/>
    <n v="1700"/>
    <n v="50600"/>
    <n v="13200"/>
    <n v="26.086956521739129"/>
    <n v="37400"/>
  </r>
  <r>
    <x v="10"/>
    <x v="9"/>
    <x v="1"/>
    <x v="2"/>
    <x v="4"/>
    <x v="5"/>
    <n v="44"/>
    <n v="2581"/>
    <x v="717"/>
    <x v="1"/>
    <n v="1800"/>
    <n v="113564"/>
    <n v="34364"/>
    <n v="30.259589306470357"/>
    <n v="79200"/>
  </r>
  <r>
    <x v="2"/>
    <x v="2"/>
    <x v="1"/>
    <x v="6"/>
    <x v="0"/>
    <x v="1"/>
    <n v="17"/>
    <n v="1804"/>
    <x v="718"/>
    <x v="0"/>
    <n v="1100"/>
    <n v="30668"/>
    <n v="11968"/>
    <n v="39.024390243902438"/>
    <n v="18700"/>
  </r>
  <r>
    <x v="12"/>
    <x v="10"/>
    <x v="2"/>
    <x v="0"/>
    <x v="2"/>
    <x v="5"/>
    <n v="42"/>
    <n v="1554"/>
    <x v="719"/>
    <x v="0"/>
    <n v="900"/>
    <n v="65268"/>
    <n v="27468"/>
    <n v="42.084942084942085"/>
    <n v="37800"/>
  </r>
  <r>
    <x v="49"/>
    <x v="6"/>
    <x v="2"/>
    <x v="7"/>
    <x v="4"/>
    <x v="6"/>
    <n v="25"/>
    <n v="1150"/>
    <x v="720"/>
    <x v="1"/>
    <n v="700"/>
    <n v="28750"/>
    <n v="11250"/>
    <n v="39.130434782608695"/>
    <n v="17500"/>
  </r>
  <r>
    <x v="88"/>
    <x v="5"/>
    <x v="0"/>
    <x v="4"/>
    <x v="6"/>
    <x v="8"/>
    <n v="40"/>
    <n v="2359"/>
    <x v="721"/>
    <x v="0"/>
    <n v="1750"/>
    <n v="94360"/>
    <n v="24360"/>
    <n v="25.816023738872403"/>
    <n v="70000"/>
  </r>
  <r>
    <x v="39"/>
    <x v="22"/>
    <x v="4"/>
    <x v="1"/>
    <x v="6"/>
    <x v="4"/>
    <n v="23"/>
    <n v="1987"/>
    <x v="722"/>
    <x v="0"/>
    <n v="1400"/>
    <n v="45701"/>
    <n v="13501"/>
    <n v="29.542023150478109"/>
    <n v="32200"/>
  </r>
  <r>
    <x v="4"/>
    <x v="4"/>
    <x v="3"/>
    <x v="5"/>
    <x v="1"/>
    <x v="7"/>
    <n v="15"/>
    <n v="835"/>
    <x v="723"/>
    <x v="0"/>
    <n v="650"/>
    <n v="12525"/>
    <n v="2775"/>
    <n v="22.155688622754489"/>
    <n v="9750"/>
  </r>
  <r>
    <x v="35"/>
    <x v="24"/>
    <x v="3"/>
    <x v="6"/>
    <x v="3"/>
    <x v="1"/>
    <n v="34"/>
    <n v="1771"/>
    <x v="724"/>
    <x v="0"/>
    <n v="1250"/>
    <n v="60214"/>
    <n v="17714"/>
    <n v="29.418407679277241"/>
    <n v="42500"/>
  </r>
  <r>
    <x v="8"/>
    <x v="8"/>
    <x v="2"/>
    <x v="2"/>
    <x v="8"/>
    <x v="7"/>
    <n v="29"/>
    <n v="2249"/>
    <x v="725"/>
    <x v="0"/>
    <n v="1650"/>
    <n v="65221"/>
    <n v="17371"/>
    <n v="26.634059582036464"/>
    <n v="47850"/>
  </r>
  <r>
    <x v="63"/>
    <x v="28"/>
    <x v="1"/>
    <x v="3"/>
    <x v="9"/>
    <x v="4"/>
    <n v="13"/>
    <n v="2778"/>
    <x v="726"/>
    <x v="0"/>
    <n v="2300"/>
    <n v="36114"/>
    <n v="6214"/>
    <n v="17.206623470122391"/>
    <n v="29900"/>
  </r>
  <r>
    <x v="13"/>
    <x v="11"/>
    <x v="4"/>
    <x v="4"/>
    <x v="0"/>
    <x v="5"/>
    <n v="27"/>
    <n v="807"/>
    <x v="727"/>
    <x v="1"/>
    <n v="700"/>
    <n v="21789"/>
    <n v="2889"/>
    <n v="13.258983890954152"/>
    <n v="18900"/>
  </r>
  <r>
    <x v="30"/>
    <x v="15"/>
    <x v="0"/>
    <x v="2"/>
    <x v="8"/>
    <x v="4"/>
    <n v="48"/>
    <n v="1302"/>
    <x v="728"/>
    <x v="0"/>
    <n v="900"/>
    <n v="62496"/>
    <n v="19296"/>
    <n v="30.875576036866359"/>
    <n v="43200"/>
  </r>
  <r>
    <x v="39"/>
    <x v="22"/>
    <x v="2"/>
    <x v="5"/>
    <x v="9"/>
    <x v="8"/>
    <n v="35"/>
    <n v="1757"/>
    <x v="729"/>
    <x v="0"/>
    <n v="950"/>
    <n v="61495"/>
    <n v="28245"/>
    <n v="45.930563460443942"/>
    <n v="33250"/>
  </r>
  <r>
    <x v="86"/>
    <x v="28"/>
    <x v="3"/>
    <x v="5"/>
    <x v="1"/>
    <x v="3"/>
    <n v="17"/>
    <n v="1352"/>
    <x v="730"/>
    <x v="0"/>
    <n v="1000"/>
    <n v="22984"/>
    <n v="5984"/>
    <n v="26.035502958579883"/>
    <n v="17000"/>
  </r>
  <r>
    <x v="19"/>
    <x v="10"/>
    <x v="2"/>
    <x v="1"/>
    <x v="4"/>
    <x v="2"/>
    <n v="23"/>
    <n v="412"/>
    <x v="731"/>
    <x v="0"/>
    <n v="250"/>
    <n v="9476"/>
    <n v="3726"/>
    <n v="39.320388349514559"/>
    <n v="5750"/>
  </r>
  <r>
    <x v="32"/>
    <x v="19"/>
    <x v="4"/>
    <x v="5"/>
    <x v="4"/>
    <x v="5"/>
    <n v="28"/>
    <n v="1092"/>
    <x v="732"/>
    <x v="0"/>
    <n v="800"/>
    <n v="30576"/>
    <n v="8176"/>
    <n v="26.739926739926741"/>
    <n v="22400"/>
  </r>
  <r>
    <x v="2"/>
    <x v="2"/>
    <x v="4"/>
    <x v="6"/>
    <x v="0"/>
    <x v="5"/>
    <n v="39"/>
    <n v="1366"/>
    <x v="733"/>
    <x v="1"/>
    <n v="950"/>
    <n v="53274"/>
    <n v="16224"/>
    <n v="30.453879941434849"/>
    <n v="37050"/>
  </r>
  <r>
    <x v="74"/>
    <x v="19"/>
    <x v="1"/>
    <x v="4"/>
    <x v="3"/>
    <x v="0"/>
    <n v="21"/>
    <n v="2971"/>
    <x v="734"/>
    <x v="0"/>
    <n v="1750"/>
    <n v="62391"/>
    <n v="25641"/>
    <n v="41.097273645237294"/>
    <n v="36750"/>
  </r>
  <r>
    <x v="43"/>
    <x v="11"/>
    <x v="2"/>
    <x v="2"/>
    <x v="0"/>
    <x v="6"/>
    <n v="27"/>
    <n v="1792"/>
    <x v="735"/>
    <x v="0"/>
    <n v="1150"/>
    <n v="48384"/>
    <n v="17334"/>
    <n v="35.825892857142854"/>
    <n v="31050"/>
  </r>
  <r>
    <x v="62"/>
    <x v="20"/>
    <x v="2"/>
    <x v="4"/>
    <x v="1"/>
    <x v="2"/>
    <n v="46"/>
    <n v="1266"/>
    <x v="736"/>
    <x v="1"/>
    <n v="1150"/>
    <n v="58236"/>
    <n v="5336"/>
    <n v="9.1627172195892577"/>
    <n v="52900"/>
  </r>
  <r>
    <x v="77"/>
    <x v="6"/>
    <x v="2"/>
    <x v="7"/>
    <x v="7"/>
    <x v="9"/>
    <n v="32"/>
    <n v="643"/>
    <x v="737"/>
    <x v="0"/>
    <n v="450"/>
    <n v="20576"/>
    <n v="6176"/>
    <n v="30.015552099533437"/>
    <n v="14400"/>
  </r>
  <r>
    <x v="77"/>
    <x v="6"/>
    <x v="4"/>
    <x v="4"/>
    <x v="8"/>
    <x v="9"/>
    <n v="31"/>
    <n v="2319"/>
    <x v="738"/>
    <x v="1"/>
    <n v="1200"/>
    <n v="71889"/>
    <n v="34689"/>
    <n v="48.253557567917206"/>
    <n v="37200"/>
  </r>
  <r>
    <x v="21"/>
    <x v="16"/>
    <x v="4"/>
    <x v="6"/>
    <x v="6"/>
    <x v="6"/>
    <n v="26"/>
    <n v="830"/>
    <x v="739"/>
    <x v="0"/>
    <n v="650"/>
    <n v="21580"/>
    <n v="4680"/>
    <n v="21.686746987951807"/>
    <n v="16900"/>
  </r>
  <r>
    <x v="69"/>
    <x v="17"/>
    <x v="4"/>
    <x v="1"/>
    <x v="4"/>
    <x v="0"/>
    <n v="13"/>
    <n v="2597"/>
    <x v="740"/>
    <x v="0"/>
    <n v="1750"/>
    <n v="33761"/>
    <n v="11011"/>
    <n v="32.614555256064691"/>
    <n v="22750"/>
  </r>
  <r>
    <x v="83"/>
    <x v="2"/>
    <x v="3"/>
    <x v="3"/>
    <x v="0"/>
    <x v="5"/>
    <n v="35"/>
    <n v="363"/>
    <x v="741"/>
    <x v="0"/>
    <n v="300"/>
    <n v="12705"/>
    <n v="2205"/>
    <n v="17.355371900826448"/>
    <n v="10500"/>
  </r>
  <r>
    <x v="19"/>
    <x v="10"/>
    <x v="4"/>
    <x v="2"/>
    <x v="8"/>
    <x v="8"/>
    <n v="46"/>
    <n v="2774"/>
    <x v="742"/>
    <x v="0"/>
    <n v="2250"/>
    <n v="127604"/>
    <n v="24104"/>
    <n v="18.889689978370583"/>
    <n v="103500"/>
  </r>
  <r>
    <x v="87"/>
    <x v="30"/>
    <x v="2"/>
    <x v="1"/>
    <x v="1"/>
    <x v="7"/>
    <n v="43"/>
    <n v="554"/>
    <x v="743"/>
    <x v="0"/>
    <n v="350"/>
    <n v="23822"/>
    <n v="8772"/>
    <n v="36.823104693140799"/>
    <n v="15050"/>
  </r>
  <r>
    <x v="47"/>
    <x v="14"/>
    <x v="1"/>
    <x v="1"/>
    <x v="6"/>
    <x v="1"/>
    <n v="16"/>
    <n v="1507"/>
    <x v="744"/>
    <x v="1"/>
    <n v="900"/>
    <n v="24112"/>
    <n v="9712"/>
    <n v="40.278699402786991"/>
    <n v="14400"/>
  </r>
  <r>
    <x v="28"/>
    <x v="20"/>
    <x v="4"/>
    <x v="0"/>
    <x v="8"/>
    <x v="3"/>
    <n v="50"/>
    <n v="966"/>
    <x v="745"/>
    <x v="0"/>
    <n v="600"/>
    <n v="48300"/>
    <n v="18300"/>
    <n v="37.888198757763973"/>
    <n v="30000"/>
  </r>
  <r>
    <x v="38"/>
    <x v="8"/>
    <x v="3"/>
    <x v="3"/>
    <x v="3"/>
    <x v="9"/>
    <n v="44"/>
    <n v="814"/>
    <x v="746"/>
    <x v="1"/>
    <n v="550"/>
    <n v="35816"/>
    <n v="11616"/>
    <n v="32.432432432432435"/>
    <n v="24200"/>
  </r>
  <r>
    <x v="1"/>
    <x v="1"/>
    <x v="4"/>
    <x v="5"/>
    <x v="7"/>
    <x v="1"/>
    <n v="14"/>
    <n v="383"/>
    <x v="747"/>
    <x v="1"/>
    <n v="200"/>
    <n v="5362"/>
    <n v="2562"/>
    <n v="47.780678851174933"/>
    <n v="2800"/>
  </r>
  <r>
    <x v="86"/>
    <x v="28"/>
    <x v="1"/>
    <x v="2"/>
    <x v="5"/>
    <x v="1"/>
    <n v="7"/>
    <n v="2512"/>
    <x v="748"/>
    <x v="0"/>
    <n v="2150"/>
    <n v="17584"/>
    <n v="2534"/>
    <n v="14.410828025477706"/>
    <n v="15050"/>
  </r>
  <r>
    <x v="35"/>
    <x v="24"/>
    <x v="3"/>
    <x v="5"/>
    <x v="7"/>
    <x v="6"/>
    <n v="42"/>
    <n v="2701"/>
    <x v="749"/>
    <x v="1"/>
    <n v="2250"/>
    <n v="113442"/>
    <n v="18942"/>
    <n v="16.697519437245465"/>
    <n v="94500"/>
  </r>
  <r>
    <x v="36"/>
    <x v="10"/>
    <x v="3"/>
    <x v="6"/>
    <x v="0"/>
    <x v="0"/>
    <n v="6"/>
    <n v="2297"/>
    <x v="750"/>
    <x v="0"/>
    <n v="2000"/>
    <n v="13782"/>
    <n v="1782"/>
    <n v="12.929908576404006"/>
    <n v="12000"/>
  </r>
  <r>
    <x v="39"/>
    <x v="22"/>
    <x v="3"/>
    <x v="5"/>
    <x v="2"/>
    <x v="3"/>
    <n v="29"/>
    <n v="535"/>
    <x v="751"/>
    <x v="1"/>
    <n v="300"/>
    <n v="15515"/>
    <n v="6815"/>
    <n v="43.925233644859816"/>
    <n v="8700"/>
  </r>
  <r>
    <x v="73"/>
    <x v="4"/>
    <x v="1"/>
    <x v="2"/>
    <x v="5"/>
    <x v="4"/>
    <n v="8"/>
    <n v="2597"/>
    <x v="752"/>
    <x v="0"/>
    <n v="2050"/>
    <n v="20776"/>
    <n v="4376"/>
    <n v="21.062764728532922"/>
    <n v="16400"/>
  </r>
  <r>
    <x v="59"/>
    <x v="0"/>
    <x v="1"/>
    <x v="0"/>
    <x v="5"/>
    <x v="0"/>
    <n v="18"/>
    <n v="2033"/>
    <x v="753"/>
    <x v="1"/>
    <n v="1600"/>
    <n v="36594"/>
    <n v="7794"/>
    <n v="21.298573536645353"/>
    <n v="28800"/>
  </r>
  <r>
    <x v="3"/>
    <x v="3"/>
    <x v="1"/>
    <x v="4"/>
    <x v="3"/>
    <x v="9"/>
    <n v="21"/>
    <n v="2855"/>
    <x v="754"/>
    <x v="0"/>
    <n v="2500"/>
    <n v="59955"/>
    <n v="7455"/>
    <n v="12.43432574430823"/>
    <n v="52500"/>
  </r>
  <r>
    <x v="72"/>
    <x v="22"/>
    <x v="0"/>
    <x v="4"/>
    <x v="8"/>
    <x v="0"/>
    <n v="32"/>
    <n v="2850"/>
    <x v="755"/>
    <x v="1"/>
    <n v="2150"/>
    <n v="91200"/>
    <n v="22400"/>
    <n v="24.561403508771928"/>
    <n v="68800"/>
  </r>
  <r>
    <x v="74"/>
    <x v="19"/>
    <x v="1"/>
    <x v="6"/>
    <x v="2"/>
    <x v="3"/>
    <n v="35"/>
    <n v="2191"/>
    <x v="756"/>
    <x v="0"/>
    <n v="1600"/>
    <n v="76685"/>
    <n v="20685"/>
    <n v="26.973984481971701"/>
    <n v="56000"/>
  </r>
  <r>
    <x v="28"/>
    <x v="20"/>
    <x v="3"/>
    <x v="4"/>
    <x v="2"/>
    <x v="7"/>
    <n v="37"/>
    <n v="2919"/>
    <x v="757"/>
    <x v="0"/>
    <n v="2400"/>
    <n v="108003"/>
    <n v="19203"/>
    <n v="17.780061664953749"/>
    <n v="88800"/>
  </r>
  <r>
    <x v="13"/>
    <x v="11"/>
    <x v="0"/>
    <x v="0"/>
    <x v="7"/>
    <x v="8"/>
    <n v="16"/>
    <n v="676"/>
    <x v="758"/>
    <x v="0"/>
    <n v="350"/>
    <n v="10816"/>
    <n v="5216"/>
    <n v="48.22485207100592"/>
    <n v="5600"/>
  </r>
  <r>
    <x v="7"/>
    <x v="7"/>
    <x v="0"/>
    <x v="1"/>
    <x v="5"/>
    <x v="0"/>
    <n v="28"/>
    <n v="1510"/>
    <x v="759"/>
    <x v="1"/>
    <n v="850"/>
    <n v="42280"/>
    <n v="18480"/>
    <n v="43.70860927152318"/>
    <n v="23800"/>
  </r>
  <r>
    <x v="4"/>
    <x v="4"/>
    <x v="2"/>
    <x v="7"/>
    <x v="5"/>
    <x v="3"/>
    <n v="34"/>
    <n v="2165"/>
    <x v="760"/>
    <x v="1"/>
    <n v="1300"/>
    <n v="73610"/>
    <n v="29410"/>
    <n v="39.953810623556578"/>
    <n v="44200"/>
  </r>
  <r>
    <x v="68"/>
    <x v="27"/>
    <x v="3"/>
    <x v="0"/>
    <x v="1"/>
    <x v="3"/>
    <n v="13"/>
    <n v="2918"/>
    <x v="761"/>
    <x v="0"/>
    <n v="1700"/>
    <n v="37934"/>
    <n v="15834"/>
    <n v="41.740918437285814"/>
    <n v="22100"/>
  </r>
  <r>
    <x v="78"/>
    <x v="12"/>
    <x v="1"/>
    <x v="0"/>
    <x v="6"/>
    <x v="1"/>
    <n v="25"/>
    <n v="330"/>
    <x v="762"/>
    <x v="1"/>
    <n v="250"/>
    <n v="8250"/>
    <n v="2000"/>
    <n v="24.242424242424242"/>
    <n v="6250"/>
  </r>
  <r>
    <x v="7"/>
    <x v="7"/>
    <x v="2"/>
    <x v="7"/>
    <x v="9"/>
    <x v="9"/>
    <n v="16"/>
    <n v="2950"/>
    <x v="763"/>
    <x v="1"/>
    <n v="1800"/>
    <n v="47200"/>
    <n v="18400"/>
    <n v="38.983050847457626"/>
    <n v="28800"/>
  </r>
  <r>
    <x v="70"/>
    <x v="21"/>
    <x v="1"/>
    <x v="5"/>
    <x v="3"/>
    <x v="1"/>
    <n v="18"/>
    <n v="981"/>
    <x v="764"/>
    <x v="1"/>
    <n v="800"/>
    <n v="17658"/>
    <n v="3258"/>
    <n v="18.450560652395513"/>
    <n v="14400"/>
  </r>
  <r>
    <x v="75"/>
    <x v="4"/>
    <x v="3"/>
    <x v="6"/>
    <x v="1"/>
    <x v="1"/>
    <n v="44"/>
    <n v="476"/>
    <x v="765"/>
    <x v="0"/>
    <n v="250"/>
    <n v="20944"/>
    <n v="9944"/>
    <n v="47.47899159663865"/>
    <n v="11000"/>
  </r>
  <r>
    <x v="41"/>
    <x v="16"/>
    <x v="2"/>
    <x v="2"/>
    <x v="8"/>
    <x v="2"/>
    <n v="35"/>
    <n v="2485"/>
    <x v="766"/>
    <x v="1"/>
    <n v="1900"/>
    <n v="86975"/>
    <n v="20475"/>
    <n v="23.541247484909455"/>
    <n v="66500"/>
  </r>
  <r>
    <x v="8"/>
    <x v="8"/>
    <x v="0"/>
    <x v="7"/>
    <x v="8"/>
    <x v="5"/>
    <n v="33"/>
    <n v="325"/>
    <x v="767"/>
    <x v="1"/>
    <n v="250"/>
    <n v="10725"/>
    <n v="2475"/>
    <n v="23.076923076923077"/>
    <n v="8250"/>
  </r>
  <r>
    <x v="61"/>
    <x v="23"/>
    <x v="2"/>
    <x v="0"/>
    <x v="2"/>
    <x v="4"/>
    <n v="21"/>
    <n v="2232"/>
    <x v="768"/>
    <x v="0"/>
    <n v="1650"/>
    <n v="46872"/>
    <n v="12222"/>
    <n v="26.0752688172043"/>
    <n v="34650"/>
  </r>
  <r>
    <x v="67"/>
    <x v="30"/>
    <x v="3"/>
    <x v="3"/>
    <x v="1"/>
    <x v="4"/>
    <n v="9"/>
    <n v="1816"/>
    <x v="769"/>
    <x v="1"/>
    <n v="1450"/>
    <n v="16344"/>
    <n v="3294"/>
    <n v="20.154185022026432"/>
    <n v="13050"/>
  </r>
  <r>
    <x v="44"/>
    <x v="25"/>
    <x v="2"/>
    <x v="6"/>
    <x v="4"/>
    <x v="5"/>
    <n v="35"/>
    <n v="2124"/>
    <x v="770"/>
    <x v="1"/>
    <n v="1650"/>
    <n v="74340"/>
    <n v="16590"/>
    <n v="22.316384180790962"/>
    <n v="57750"/>
  </r>
  <r>
    <x v="7"/>
    <x v="7"/>
    <x v="0"/>
    <x v="1"/>
    <x v="7"/>
    <x v="2"/>
    <n v="50"/>
    <n v="1535"/>
    <x v="771"/>
    <x v="0"/>
    <n v="1000"/>
    <n v="76750"/>
    <n v="26750"/>
    <n v="34.853420195439739"/>
    <n v="50000"/>
  </r>
  <r>
    <x v="17"/>
    <x v="13"/>
    <x v="0"/>
    <x v="0"/>
    <x v="0"/>
    <x v="2"/>
    <n v="48"/>
    <n v="2605"/>
    <x v="772"/>
    <x v="1"/>
    <n v="2050"/>
    <n v="125040"/>
    <n v="26640"/>
    <n v="21.305182341650671"/>
    <n v="98400"/>
  </r>
  <r>
    <x v="2"/>
    <x v="2"/>
    <x v="2"/>
    <x v="6"/>
    <x v="6"/>
    <x v="5"/>
    <n v="42"/>
    <n v="1117"/>
    <x v="773"/>
    <x v="0"/>
    <n v="750"/>
    <n v="46914"/>
    <n v="15414"/>
    <n v="32.855863921217548"/>
    <n v="31500"/>
  </r>
  <r>
    <x v="47"/>
    <x v="14"/>
    <x v="1"/>
    <x v="6"/>
    <x v="4"/>
    <x v="5"/>
    <n v="13"/>
    <n v="707"/>
    <x v="774"/>
    <x v="0"/>
    <n v="450"/>
    <n v="9191"/>
    <n v="3341"/>
    <n v="36.350777934936353"/>
    <n v="5850"/>
  </r>
  <r>
    <x v="84"/>
    <x v="2"/>
    <x v="0"/>
    <x v="2"/>
    <x v="7"/>
    <x v="6"/>
    <n v="24"/>
    <n v="703"/>
    <x v="775"/>
    <x v="0"/>
    <n v="400"/>
    <n v="16872"/>
    <n v="7272"/>
    <n v="43.100995732574681"/>
    <n v="9600"/>
  </r>
  <r>
    <x v="0"/>
    <x v="0"/>
    <x v="4"/>
    <x v="2"/>
    <x v="6"/>
    <x v="5"/>
    <n v="10"/>
    <n v="440"/>
    <x v="776"/>
    <x v="0"/>
    <n v="300"/>
    <n v="4400"/>
    <n v="1400"/>
    <n v="31.818181818181817"/>
    <n v="3000"/>
  </r>
  <r>
    <x v="43"/>
    <x v="11"/>
    <x v="1"/>
    <x v="3"/>
    <x v="7"/>
    <x v="5"/>
    <n v="41"/>
    <n v="2241"/>
    <x v="777"/>
    <x v="0"/>
    <n v="1250"/>
    <n v="91881"/>
    <n v="40631"/>
    <n v="44.221329763498439"/>
    <n v="51250"/>
  </r>
  <r>
    <x v="73"/>
    <x v="4"/>
    <x v="2"/>
    <x v="6"/>
    <x v="5"/>
    <x v="6"/>
    <n v="12"/>
    <n v="392"/>
    <x v="778"/>
    <x v="1"/>
    <n v="200"/>
    <n v="4704"/>
    <n v="2304"/>
    <n v="48.979591836734691"/>
    <n v="2400"/>
  </r>
  <r>
    <x v="9"/>
    <x v="3"/>
    <x v="0"/>
    <x v="4"/>
    <x v="1"/>
    <x v="9"/>
    <n v="32"/>
    <n v="1064"/>
    <x v="779"/>
    <x v="0"/>
    <n v="550"/>
    <n v="34048"/>
    <n v="16448"/>
    <n v="48.308270676691727"/>
    <n v="17600"/>
  </r>
  <r>
    <x v="32"/>
    <x v="19"/>
    <x v="2"/>
    <x v="6"/>
    <x v="0"/>
    <x v="6"/>
    <n v="36"/>
    <n v="1429"/>
    <x v="780"/>
    <x v="1"/>
    <n v="800"/>
    <n v="51444"/>
    <n v="22644"/>
    <n v="44.016794961511543"/>
    <n v="28800"/>
  </r>
  <r>
    <x v="65"/>
    <x v="25"/>
    <x v="0"/>
    <x v="5"/>
    <x v="7"/>
    <x v="6"/>
    <n v="38"/>
    <n v="1492"/>
    <x v="781"/>
    <x v="0"/>
    <n v="1100"/>
    <n v="56696"/>
    <n v="14896"/>
    <n v="26.273458445040216"/>
    <n v="41800"/>
  </r>
  <r>
    <x v="49"/>
    <x v="6"/>
    <x v="4"/>
    <x v="2"/>
    <x v="1"/>
    <x v="7"/>
    <n v="46"/>
    <n v="2973"/>
    <x v="782"/>
    <x v="1"/>
    <n v="2150"/>
    <n v="136758"/>
    <n v="37858"/>
    <n v="27.682475613858053"/>
    <n v="98900"/>
  </r>
  <r>
    <x v="67"/>
    <x v="30"/>
    <x v="0"/>
    <x v="1"/>
    <x v="4"/>
    <x v="0"/>
    <n v="34"/>
    <n v="2316"/>
    <x v="783"/>
    <x v="0"/>
    <n v="1800"/>
    <n v="78744"/>
    <n v="17544"/>
    <n v="22.279792746113987"/>
    <n v="61200"/>
  </r>
  <r>
    <x v="20"/>
    <x v="15"/>
    <x v="2"/>
    <x v="2"/>
    <x v="3"/>
    <x v="1"/>
    <n v="24"/>
    <n v="2432"/>
    <x v="784"/>
    <x v="1"/>
    <n v="1250"/>
    <n v="58368"/>
    <n v="28368"/>
    <n v="48.601973684210527"/>
    <n v="30000"/>
  </r>
  <r>
    <x v="4"/>
    <x v="4"/>
    <x v="4"/>
    <x v="3"/>
    <x v="0"/>
    <x v="2"/>
    <n v="34"/>
    <n v="1312"/>
    <x v="785"/>
    <x v="1"/>
    <n v="950"/>
    <n v="44608"/>
    <n v="12308"/>
    <n v="27.591463414634148"/>
    <n v="32300"/>
  </r>
  <r>
    <x v="22"/>
    <x v="17"/>
    <x v="2"/>
    <x v="6"/>
    <x v="2"/>
    <x v="0"/>
    <n v="14"/>
    <n v="2268"/>
    <x v="786"/>
    <x v="1"/>
    <n v="1550"/>
    <n v="31752"/>
    <n v="10052"/>
    <n v="31.657848324514994"/>
    <n v="21700"/>
  </r>
  <r>
    <x v="11"/>
    <x v="1"/>
    <x v="1"/>
    <x v="5"/>
    <x v="5"/>
    <x v="7"/>
    <n v="48"/>
    <n v="1602"/>
    <x v="787"/>
    <x v="0"/>
    <n v="1100"/>
    <n v="76896"/>
    <n v="24096"/>
    <n v="31.335830212234704"/>
    <n v="52800"/>
  </r>
  <r>
    <x v="35"/>
    <x v="24"/>
    <x v="3"/>
    <x v="1"/>
    <x v="6"/>
    <x v="9"/>
    <n v="6"/>
    <n v="2068"/>
    <x v="788"/>
    <x v="0"/>
    <n v="1350"/>
    <n v="12408"/>
    <n v="4308"/>
    <n v="34.719535783365565"/>
    <n v="8100"/>
  </r>
  <r>
    <x v="18"/>
    <x v="14"/>
    <x v="3"/>
    <x v="3"/>
    <x v="1"/>
    <x v="4"/>
    <n v="35"/>
    <n v="1187"/>
    <x v="789"/>
    <x v="1"/>
    <n v="700"/>
    <n v="41545"/>
    <n v="17045"/>
    <n v="41.027801179443976"/>
    <n v="24500"/>
  </r>
  <r>
    <x v="63"/>
    <x v="28"/>
    <x v="2"/>
    <x v="6"/>
    <x v="6"/>
    <x v="8"/>
    <n v="31"/>
    <n v="1585"/>
    <x v="790"/>
    <x v="0"/>
    <n v="1100"/>
    <n v="49135"/>
    <n v="15035"/>
    <n v="30.5993690851735"/>
    <n v="34100"/>
  </r>
  <r>
    <x v="11"/>
    <x v="1"/>
    <x v="2"/>
    <x v="3"/>
    <x v="7"/>
    <x v="1"/>
    <n v="16"/>
    <n v="327"/>
    <x v="791"/>
    <x v="0"/>
    <n v="250"/>
    <n v="5232"/>
    <n v="1232"/>
    <n v="23.547400611620795"/>
    <n v="4000"/>
  </r>
  <r>
    <x v="74"/>
    <x v="19"/>
    <x v="2"/>
    <x v="3"/>
    <x v="4"/>
    <x v="8"/>
    <n v="39"/>
    <n v="1770"/>
    <x v="792"/>
    <x v="0"/>
    <n v="1250"/>
    <n v="69030"/>
    <n v="20280"/>
    <n v="29.378531073446329"/>
    <n v="48750"/>
  </r>
  <r>
    <x v="26"/>
    <x v="19"/>
    <x v="3"/>
    <x v="0"/>
    <x v="9"/>
    <x v="7"/>
    <n v="40"/>
    <n v="765"/>
    <x v="793"/>
    <x v="0"/>
    <n v="450"/>
    <n v="30600"/>
    <n v="12600"/>
    <n v="41.17647058823529"/>
    <n v="18000"/>
  </r>
  <r>
    <x v="38"/>
    <x v="8"/>
    <x v="4"/>
    <x v="2"/>
    <x v="9"/>
    <x v="6"/>
    <n v="45"/>
    <n v="2757"/>
    <x v="794"/>
    <x v="0"/>
    <n v="2100"/>
    <n v="124065"/>
    <n v="29565"/>
    <n v="23.830250272034821"/>
    <n v="94500"/>
  </r>
  <r>
    <x v="49"/>
    <x v="6"/>
    <x v="1"/>
    <x v="3"/>
    <x v="5"/>
    <x v="2"/>
    <n v="21"/>
    <n v="1628"/>
    <x v="795"/>
    <x v="1"/>
    <n v="1450"/>
    <n v="34188"/>
    <n v="3738"/>
    <n v="10.933660933660933"/>
    <n v="30450"/>
  </r>
  <r>
    <x v="29"/>
    <x v="21"/>
    <x v="2"/>
    <x v="1"/>
    <x v="8"/>
    <x v="3"/>
    <n v="17"/>
    <n v="2898"/>
    <x v="796"/>
    <x v="0"/>
    <n v="2400"/>
    <n v="49266"/>
    <n v="8466"/>
    <n v="17.184265010351968"/>
    <n v="40800"/>
  </r>
  <r>
    <x v="88"/>
    <x v="5"/>
    <x v="0"/>
    <x v="1"/>
    <x v="5"/>
    <x v="7"/>
    <n v="11"/>
    <n v="1313"/>
    <x v="797"/>
    <x v="0"/>
    <n v="950"/>
    <n v="14443"/>
    <n v="3993"/>
    <n v="27.646610814927648"/>
    <n v="10450"/>
  </r>
  <r>
    <x v="18"/>
    <x v="14"/>
    <x v="3"/>
    <x v="7"/>
    <x v="3"/>
    <x v="8"/>
    <n v="34"/>
    <n v="1890"/>
    <x v="798"/>
    <x v="0"/>
    <n v="1200"/>
    <n v="64260"/>
    <n v="23460"/>
    <n v="36.507936507936506"/>
    <n v="40800"/>
  </r>
  <r>
    <x v="72"/>
    <x v="22"/>
    <x v="1"/>
    <x v="1"/>
    <x v="8"/>
    <x v="8"/>
    <n v="35"/>
    <n v="324"/>
    <x v="799"/>
    <x v="0"/>
    <n v="200"/>
    <n v="11340"/>
    <n v="4340"/>
    <n v="38.271604938271601"/>
    <n v="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9B025-DE34-41DE-8C9F-CF6EF1E1FE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24:P141" firstHeaderRow="1" firstDataRow="1" firstDataCol="0"/>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78F6AB-611A-43A9-AA56-BB954C8EBD4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5:C29" firstHeaderRow="1" firstDataRow="1" firstDataCol="1"/>
  <pivotFields count="17">
    <pivotField axis="axisRow"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showAll="0"/>
    <pivotField showAll="0"/>
    <pivotField dataField="1" showAll="0"/>
    <pivotField numFmtId="164" showAll="0"/>
    <pivotField numFmtId="2"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s>
  <rowFields count="3">
    <field x="16"/>
    <field x="15"/>
    <field x="0"/>
  </rowFields>
  <rowItems count="4">
    <i>
      <x v="6"/>
    </i>
    <i>
      <x v="4"/>
    </i>
    <i>
      <x v="5"/>
    </i>
    <i t="grand">
      <x/>
    </i>
  </rowItems>
  <colItems count="1">
    <i/>
  </colItems>
  <dataFields count="1">
    <dataField name="Sum of total sales" fld="11" baseField="0" baseItem="0"/>
  </dataFields>
  <formats count="3">
    <format dxfId="2">
      <pivotArea collapsedLevelsAreSubtotals="1" fieldPosition="0">
        <references count="1">
          <reference field="16" count="1">
            <x v="6"/>
          </reference>
        </references>
      </pivotArea>
    </format>
    <format dxfId="1">
      <pivotArea collapsedLevelsAreSubtotals="1" fieldPosition="0">
        <references count="1">
          <reference field="16" count="1">
            <x v="4"/>
          </reference>
        </references>
      </pivotArea>
    </format>
    <format dxfId="0">
      <pivotArea collapsedLevelsAreSubtotals="1" fieldPosition="0">
        <references count="1">
          <reference field="16" count="1">
            <x v="5"/>
          </reference>
        </references>
      </pivotArea>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768DFB-0C22-483C-A72D-E8835E2FE5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1:F32"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axis="axisRow" showAll="0" sortType="descending">
      <items count="11">
        <item x="6"/>
        <item x="4"/>
        <item x="5"/>
        <item x="3"/>
        <item x="7"/>
        <item x="2"/>
        <item x="1"/>
        <item x="0"/>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numFmtId="164"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1">
    <i>
      <x v="2"/>
    </i>
    <i>
      <x v="6"/>
    </i>
    <i>
      <x v="8"/>
    </i>
    <i>
      <x v="3"/>
    </i>
    <i>
      <x v="4"/>
    </i>
    <i>
      <x v="9"/>
    </i>
    <i>
      <x v="1"/>
    </i>
    <i>
      <x v="7"/>
    </i>
    <i>
      <x v="5"/>
    </i>
    <i>
      <x/>
    </i>
    <i t="grand">
      <x/>
    </i>
  </rowItems>
  <colItems count="1">
    <i/>
  </colItems>
  <dataFields count="1">
    <dataField name="Sum of total sales" fld="11" baseField="0" baseItem="0"/>
  </dataFields>
  <formats count="1">
    <format dxfId="3">
      <pivotArea collapsedLevelsAreSubtotals="1" fieldPosition="0">
        <references count="1">
          <reference field="5" count="0"/>
        </references>
      </pivotArea>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8CE95C-29A8-4049-BAFF-EAFDB7B440A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R14:S23"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axis="axisRow" showAll="0" sortType="descending">
      <items count="9">
        <item x="3"/>
        <item x="0"/>
        <item x="5"/>
        <item x="7"/>
        <item x="6"/>
        <item x="2"/>
        <item x="1"/>
        <item x="4"/>
        <item t="default"/>
      </items>
      <autoSortScope>
        <pivotArea dataOnly="0" outline="0" fieldPosition="0">
          <references count="1">
            <reference field="4294967294" count="1" selected="0">
              <x v="0"/>
            </reference>
          </references>
        </pivotArea>
      </autoSortScope>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showAll="0"/>
    <pivotField showAll="0"/>
    <pivotField showAll="0"/>
    <pivotField dataField="1" numFmtId="164" showAll="0"/>
    <pivotField numFmtId="2"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v="5"/>
    </i>
    <i>
      <x v="1"/>
    </i>
    <i>
      <x v="3"/>
    </i>
    <i>
      <x v="2"/>
    </i>
    <i>
      <x v="4"/>
    </i>
    <i>
      <x/>
    </i>
    <i>
      <x v="6"/>
    </i>
    <i>
      <x v="7"/>
    </i>
    <i t="grand">
      <x/>
    </i>
  </rowItems>
  <colItems count="1">
    <i/>
  </colItems>
  <dataFields count="1">
    <dataField name="Sum of PROFIT" fld="12" baseField="0"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C5CB31-C750-42CC-A853-935480D8EF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3:J94" firstHeaderRow="1" firstDataRow="1" firstDataCol="1"/>
  <pivotFields count="17">
    <pivotField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axis="axisRow" showAll="0" sortType="descending">
      <items count="11">
        <item x="4"/>
        <item x="3"/>
        <item x="9"/>
        <item x="0"/>
        <item x="6"/>
        <item x="2"/>
        <item x="5"/>
        <item x="1"/>
        <item x="7"/>
        <item x="8"/>
        <item t="default"/>
      </items>
      <autoSortScope>
        <pivotArea dataOnly="0" outline="0" fieldPosition="0">
          <references count="1">
            <reference field="4294967294" count="1" selected="0">
              <x v="0"/>
            </reference>
          </references>
        </pivotArea>
      </autoSortScope>
    </pivotField>
    <pivotField showAll="0">
      <items count="11">
        <item x="6"/>
        <item x="4"/>
        <item x="5"/>
        <item x="3"/>
        <item x="7"/>
        <item x="2"/>
        <item x="1"/>
        <item x="0"/>
        <item x="8"/>
        <item x="9"/>
        <item t="default"/>
      </items>
    </pivotField>
    <pivotField showAll="0"/>
    <pivotField showAll="0"/>
    <pivotField showAll="0"/>
    <pivotField showAll="0"/>
    <pivotField showAll="0"/>
    <pivotField dataField="1"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11">
    <i>
      <x v="1"/>
    </i>
    <i>
      <x v="7"/>
    </i>
    <i>
      <x/>
    </i>
    <i>
      <x v="4"/>
    </i>
    <i>
      <x v="5"/>
    </i>
    <i>
      <x v="9"/>
    </i>
    <i>
      <x v="3"/>
    </i>
    <i>
      <x v="8"/>
    </i>
    <i>
      <x v="6"/>
    </i>
    <i>
      <x v="2"/>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1D41B5-B61F-4856-83AF-878848082603}"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54:I63" firstHeaderRow="1" firstDataRow="1" firstDataCol="1"/>
  <pivotFields count="17">
    <pivotField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axis="axisRow" showAll="0" sortType="descending">
      <items count="9">
        <item x="3"/>
        <item x="0"/>
        <item x="5"/>
        <item x="7"/>
        <item x="6"/>
        <item x="2"/>
        <item x="1"/>
        <item x="4"/>
        <item t="default"/>
      </items>
      <autoSortScope>
        <pivotArea dataOnly="0" outline="0" fieldPosition="0">
          <references count="1">
            <reference field="4294967294" count="1" selected="0">
              <x v="0"/>
            </reference>
          </references>
        </pivotArea>
      </autoSortScope>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showAll="0"/>
    <pivotField showAll="0"/>
    <pivotField dataField="1"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v="5"/>
    </i>
    <i>
      <x v="1"/>
    </i>
    <i>
      <x v="2"/>
    </i>
    <i>
      <x v="4"/>
    </i>
    <i>
      <x v="3"/>
    </i>
    <i>
      <x v="7"/>
    </i>
    <i>
      <x v="6"/>
    </i>
    <i>
      <x/>
    </i>
    <i t="grand">
      <x/>
    </i>
  </rowItems>
  <colItems count="1">
    <i/>
  </colItems>
  <dataFields count="1">
    <dataField name="Sum of total sales" fld="11" baseField="0" baseItem="0"/>
  </dataFields>
  <formats count="1">
    <format dxfId="4">
      <pivotArea collapsedLevelsAreSubtotals="1" fieldPosition="0">
        <references count="1">
          <reference field="3" count="0"/>
        </references>
      </pivotArea>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138C9A-FDF5-4E2A-B1A4-BF5D1F5D50D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12:C17"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axis="axisRow" dataField="1"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showAll="0"/>
    <pivotField showAll="0"/>
    <pivotField numFmtId="164" showAll="0"/>
    <pivotField numFmtId="164"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4"/>
    </i>
    <i>
      <x/>
    </i>
    <i>
      <x v="1"/>
    </i>
    <i>
      <x v="3"/>
    </i>
    <i>
      <x v="2"/>
    </i>
  </rowItems>
  <colItems count="1">
    <i/>
  </colItems>
  <dataFields count="1">
    <dataField name="Count of Region" fld="2" subtotal="count"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BE1D79-EEAC-4269-8EAE-A8AF1B68C412}"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6:P47"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axis="axisRow" showAll="0" sortType="descending">
      <items count="11">
        <item x="6"/>
        <item x="4"/>
        <item x="5"/>
        <item x="3"/>
        <item x="7"/>
        <item x="2"/>
        <item x="1"/>
        <item x="0"/>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64" showAll="0"/>
    <pivotField numFmtId="2"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11">
    <i>
      <x v="2"/>
    </i>
    <i>
      <x v="6"/>
    </i>
    <i>
      <x v="3"/>
    </i>
    <i>
      <x v="4"/>
    </i>
    <i>
      <x v="8"/>
    </i>
    <i>
      <x v="7"/>
    </i>
    <i>
      <x v="9"/>
    </i>
    <i>
      <x v="1"/>
    </i>
    <i>
      <x/>
    </i>
    <i>
      <x v="5"/>
    </i>
    <i t="grand">
      <x/>
    </i>
  </rowItems>
  <colItems count="1">
    <i/>
  </colItems>
  <dataFields count="1">
    <dataField name="Sum of PROFIT" fld="12" baseField="0" baseItem="0" numFmtId="164"/>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1DDFEF-ACE8-476C-A0B8-7C46F7F66B21}"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8:D59" firstHeaderRow="1" firstDataRow="1" firstDataCol="1"/>
  <pivotFields count="17">
    <pivotField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axis="axisRow"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showAll="0"/>
    <pivotField showAll="0"/>
    <pivotField showAll="0"/>
    <pivotField showAll="0"/>
    <pivotField dataField="1" numFmtId="10"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Average of PROFIT MARGIN" fld="13" subtotal="average"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D071FF-A339-43FD-B506-C6AB51105B7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4:I30"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axis="axisRow" showAll="0" measureFilter="1" sortType="descending">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6">
    <i>
      <x v="576"/>
    </i>
    <i>
      <x v="506"/>
    </i>
    <i>
      <x v="583"/>
    </i>
    <i>
      <x v="782"/>
    </i>
    <i>
      <x v="542"/>
    </i>
    <i t="grand">
      <x/>
    </i>
  </rowItems>
  <colItems count="1">
    <i/>
  </colItems>
  <dataFields count="1">
    <dataField name="Sum of total sales" fld="11" baseField="0" baseItem="0"/>
  </dataFields>
  <formats count="1">
    <format dxfId="5">
      <pivotArea collapsedLevelsAreSubtotals="1" fieldPosition="0">
        <references count="1">
          <reference field="8" count="5">
            <x v="506"/>
            <x v="542"/>
            <x v="576"/>
            <x v="583"/>
            <x v="782"/>
          </reference>
        </references>
      </pivotArea>
    </format>
  </formats>
  <chartFormats count="1">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F66D51-3930-4365-9C04-ACB756ED913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55:N66"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axis="axisRow" showAll="0" sortType="descending">
      <items count="11">
        <item x="4"/>
        <item x="3"/>
        <item x="9"/>
        <item x="6"/>
        <item x="2"/>
        <item x="5"/>
        <item x="1"/>
        <item x="7"/>
        <item x="8"/>
        <item x="0"/>
        <item t="default"/>
      </items>
      <autoSortScope>
        <pivotArea dataOnly="0" outline="0" fieldPosition="0">
          <references count="1">
            <reference field="4294967294" count="1" selected="0">
              <x v="0"/>
            </reference>
          </references>
        </pivotArea>
      </autoSortScope>
    </pivotField>
    <pivotField showAll="0">
      <items count="11">
        <item x="6"/>
        <item x="4"/>
        <item x="5"/>
        <item x="3"/>
        <item x="7"/>
        <item x="2"/>
        <item x="1"/>
        <item x="0"/>
        <item x="8"/>
        <item x="9"/>
        <item t="default"/>
      </items>
    </pivotField>
    <pivotField showAll="0"/>
    <pivotField showAll="0"/>
    <pivotField showAll="0"/>
    <pivotField showAll="0"/>
    <pivotField showAll="0"/>
    <pivotField showAll="0"/>
    <pivotField dataField="1" numFmtId="164"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1"/>
    </i>
    <i>
      <x/>
    </i>
    <i>
      <x v="6"/>
    </i>
    <i>
      <x v="3"/>
    </i>
    <i>
      <x v="7"/>
    </i>
    <i>
      <x v="9"/>
    </i>
    <i>
      <x v="4"/>
    </i>
    <i>
      <x v="8"/>
    </i>
    <i>
      <x v="5"/>
    </i>
    <i>
      <x v="2"/>
    </i>
    <i t="grand">
      <x/>
    </i>
  </rowItems>
  <colItems count="1">
    <i/>
  </colItems>
  <dataFields count="1">
    <dataField name="Sum of PROFIT" fld="12" baseField="0" baseItem="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8312F8-A198-4755-8C56-64888C6638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7:E78" firstHeaderRow="1" firstDataRow="1" firstDataCol="1"/>
  <pivotFields count="17">
    <pivotField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axis="axisRow" showAll="0">
      <items count="11">
        <item x="4"/>
        <item x="5"/>
        <item x="1"/>
        <item x="7"/>
        <item x="8"/>
        <item x="3"/>
        <item x="9"/>
        <item x="0"/>
        <item x="6"/>
        <item x="2"/>
        <item t="default"/>
      </items>
    </pivotField>
    <pivotField showAll="0">
      <items count="11">
        <item x="6"/>
        <item x="4"/>
        <item x="5"/>
        <item x="3"/>
        <item x="7"/>
        <item x="2"/>
        <item x="1"/>
        <item x="0"/>
        <item x="8"/>
        <item x="9"/>
        <item t="default"/>
      </items>
    </pivotField>
    <pivotField showAll="0"/>
    <pivotField dataField="1" showAll="0"/>
    <pivotField showAll="0"/>
    <pivotField showAll="0"/>
    <pivotField showAll="0"/>
    <pivotField showAll="0"/>
    <pivotField showAll="0"/>
    <pivotField numFmtId="10"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Max of Unit Price (NGN)" fld="7" subtotal="max"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E2B77C-CAA6-4FB8-B495-EC2119A006A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6">
  <location ref="A3:B5"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axis="axisRow" dataField="1" showAll="0">
      <items count="3">
        <item x="1"/>
        <item x="0"/>
        <item t="default"/>
      </items>
    </pivotField>
    <pivotField showAll="0"/>
    <pivotField numFmtId="164" showAll="0"/>
    <pivotField numFmtId="164" showAll="0"/>
    <pivotField numFmtId="2"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
    <i>
      <x/>
    </i>
    <i>
      <x v="1"/>
    </i>
  </rowItems>
  <colItems count="1">
    <i/>
  </colItems>
  <dataFields count="1">
    <dataField name="Count of Gender" fld="9" subtotal="count" baseField="0" baseItem="0"/>
  </dataFields>
  <chartFormats count="9">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9" count="1" selected="0">
            <x v="0"/>
          </reference>
        </references>
      </pivotArea>
    </chartFormat>
    <chartFormat chart="25" format="6">
      <pivotArea type="data" outline="0" fieldPosition="0">
        <references count="2">
          <reference field="4294967294" count="1" selected="0">
            <x v="0"/>
          </reference>
          <reference field="9" count="1" selected="0">
            <x v="1"/>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9" count="1" selected="0">
            <x v="0"/>
          </reference>
        </references>
      </pivotArea>
    </chartFormat>
    <chartFormat chart="33" format="12">
      <pivotArea type="data" outline="0" fieldPosition="0">
        <references count="2">
          <reference field="4294967294" count="1" selected="0">
            <x v="0"/>
          </reference>
          <reference field="9" count="1" selected="0">
            <x v="1"/>
          </reference>
        </references>
      </pivotArea>
    </chartFormat>
    <chartFormat chart="55" format="13" series="1">
      <pivotArea type="data" outline="0" fieldPosition="0">
        <references count="1">
          <reference field="4294967294" count="1" selected="0">
            <x v="0"/>
          </reference>
        </references>
      </pivotArea>
    </chartFormat>
    <chartFormat chart="55" format="14">
      <pivotArea type="data" outline="0" fieldPosition="0">
        <references count="2">
          <reference field="4294967294" count="1" selected="0">
            <x v="0"/>
          </reference>
          <reference field="9" count="1" selected="0">
            <x v="0"/>
          </reference>
        </references>
      </pivotArea>
    </chartFormat>
    <chartFormat chart="55" format="1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60F8F8-A7BA-4152-A486-9BAAF3F1355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F9:G14"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showAll="0"/>
    <pivotField showAll="0"/>
    <pivotField dataField="1" numFmtId="164" showAll="0"/>
    <pivotField numFmtId="164"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3"/>
    </i>
    <i>
      <x v="4"/>
    </i>
    <i>
      <x/>
    </i>
    <i>
      <x v="1"/>
    </i>
    <i>
      <x v="2"/>
    </i>
  </rowItems>
  <colItems count="1">
    <i/>
  </colItems>
  <dataFields count="1">
    <dataField name="Sum of total sales" fld="11" baseField="0" baseItem="0" numFmtId="164"/>
  </dataFields>
  <chartFormats count="3">
    <chartFormat chart="15" format="4"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B297A1-51D0-4A28-B76C-90856FC85F3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8:O29"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axis="axisRow" showAll="0">
      <items count="11">
        <item x="6"/>
        <item x="4"/>
        <item x="5"/>
        <item x="3"/>
        <item x="7"/>
        <item x="2"/>
        <item x="1"/>
        <item x="0"/>
        <item x="8"/>
        <item x="9"/>
        <item t="default"/>
      </items>
    </pivotField>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1">
    <i>
      <x/>
    </i>
    <i>
      <x v="1"/>
    </i>
    <i>
      <x v="2"/>
    </i>
    <i>
      <x v="3"/>
    </i>
    <i>
      <x v="4"/>
    </i>
    <i>
      <x v="5"/>
    </i>
    <i>
      <x v="6"/>
    </i>
    <i>
      <x v="7"/>
    </i>
    <i>
      <x v="8"/>
    </i>
    <i>
      <x v="9"/>
    </i>
    <i t="grand">
      <x/>
    </i>
  </rowItems>
  <colItems count="1">
    <i/>
  </colItems>
  <dataFields count="1">
    <dataField name="Sum of COST PRIC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F519C4-050E-4DE3-8FA5-A74F79B927D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X37:Y48"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axis="axisRow" showAll="0" sortType="descending">
      <items count="11">
        <item x="4"/>
        <item x="3"/>
        <item x="9"/>
        <item x="0"/>
        <item x="6"/>
        <item x="2"/>
        <item x="5"/>
        <item x="1"/>
        <item x="7"/>
        <item x="8"/>
        <item t="default"/>
      </items>
      <autoSortScope>
        <pivotArea dataOnly="0" outline="0" fieldPosition="0">
          <references count="1">
            <reference field="4294967294" count="1" selected="0">
              <x v="0"/>
            </reference>
          </references>
        </pivotArea>
      </autoSortScope>
    </pivotField>
    <pivotField showAll="0">
      <items count="11">
        <item x="6"/>
        <item x="4"/>
        <item x="5"/>
        <item x="3"/>
        <item x="7"/>
        <item x="2"/>
        <item x="1"/>
        <item x="0"/>
        <item x="8"/>
        <item x="9"/>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1"/>
    </i>
    <i>
      <x v="7"/>
    </i>
    <i>
      <x/>
    </i>
    <i>
      <x v="4"/>
    </i>
    <i>
      <x v="5"/>
    </i>
    <i>
      <x v="9"/>
    </i>
    <i>
      <x v="3"/>
    </i>
    <i>
      <x v="8"/>
    </i>
    <i>
      <x v="6"/>
    </i>
    <i>
      <x v="2"/>
    </i>
    <i t="grand">
      <x/>
    </i>
  </rowItems>
  <colItems count="1">
    <i/>
  </colItems>
  <dataFields count="1">
    <dataField name="Sum of total sales" fld="11"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5"/>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5"/>
          </reference>
        </references>
      </pivotArea>
    </chartFormat>
    <chartFormat chart="2" format="3">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3AD989-2A99-4DEC-8BBF-48A8DD69004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8:G94"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axis="axisRow" showAll="0">
      <items count="11">
        <item x="6"/>
        <item x="4"/>
        <item x="5"/>
        <item x="3"/>
        <item x="7"/>
        <item x="2"/>
        <item x="1"/>
        <item x="0"/>
        <item x="8"/>
        <item x="9"/>
        <item t="default"/>
      </items>
    </pivotField>
    <pivotField showAll="0"/>
    <pivotField showAll="0"/>
    <pivotField showAll="0"/>
    <pivotField showAll="0"/>
    <pivotField showAll="0"/>
    <pivotField dataField="1" showAll="0"/>
    <pivotField numFmtId="164"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2"/>
    <field x="5"/>
  </rowFields>
  <rowItems count="56">
    <i>
      <x v="3"/>
    </i>
    <i r="1">
      <x/>
    </i>
    <i r="1">
      <x v="1"/>
    </i>
    <i r="1">
      <x v="2"/>
    </i>
    <i r="1">
      <x v="3"/>
    </i>
    <i r="1">
      <x v="4"/>
    </i>
    <i r="1">
      <x v="5"/>
    </i>
    <i r="1">
      <x v="6"/>
    </i>
    <i r="1">
      <x v="7"/>
    </i>
    <i r="1">
      <x v="8"/>
    </i>
    <i r="1">
      <x v="9"/>
    </i>
    <i>
      <x v="4"/>
    </i>
    <i r="1">
      <x/>
    </i>
    <i r="1">
      <x v="1"/>
    </i>
    <i r="1">
      <x v="2"/>
    </i>
    <i r="1">
      <x v="3"/>
    </i>
    <i r="1">
      <x v="4"/>
    </i>
    <i r="1">
      <x v="5"/>
    </i>
    <i r="1">
      <x v="6"/>
    </i>
    <i r="1">
      <x v="7"/>
    </i>
    <i r="1">
      <x v="8"/>
    </i>
    <i r="1">
      <x v="9"/>
    </i>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FFF1E15-0E80-48F9-AADD-603219C10AE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7:C40"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axis="axisRow" showAll="0">
      <items count="3">
        <item x="1"/>
        <item x="0"/>
        <item t="default"/>
      </items>
    </pivotField>
    <pivotField showAll="0"/>
    <pivotField dataField="1" showAll="0"/>
    <pivotField numFmtId="164"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3">
    <i>
      <x/>
    </i>
    <i>
      <x v="1"/>
    </i>
    <i t="grand">
      <x/>
    </i>
  </rowItems>
  <colItems count="1">
    <i/>
  </colItems>
  <dataFields count="1">
    <dataField name="Average of total sales" fld="11" subtotal="average" baseField="0" baseItem="0"/>
  </dataFields>
  <formats count="1">
    <format dxfId="6">
      <pivotArea collapsedLevelsAreSubtotals="1" fieldPosition="0">
        <references count="1">
          <reference field="9" count="0"/>
        </references>
      </pivotArea>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9" count="1" selected="0">
            <x v="0"/>
          </reference>
        </references>
      </pivotArea>
    </chartFormat>
    <chartFormat chart="6" format="1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43A2AC-0A77-49A1-B837-BC5D44EB080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7:T129"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axis="axisRow" showAll="0">
      <items count="32">
        <item x="15"/>
        <item x="3"/>
        <item x="11"/>
        <item x="14"/>
        <item x="19"/>
        <item x="5"/>
        <item x="18"/>
        <item x="27"/>
        <item x="21"/>
        <item x="12"/>
        <item x="30"/>
        <item x="0"/>
        <item x="29"/>
        <item x="20"/>
        <item x="24"/>
        <item x="7"/>
        <item x="23"/>
        <item x="2"/>
        <item x="8"/>
        <item x="13"/>
        <item x="10"/>
        <item x="17"/>
        <item x="1"/>
        <item x="9"/>
        <item x="28"/>
        <item x="16"/>
        <item x="4"/>
        <item x="22"/>
        <item x="6"/>
        <item x="25"/>
        <item x="26"/>
        <item t="default"/>
      </items>
    </pivotField>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showAll="0"/>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5"/>
    <field x="1"/>
  </rowFields>
  <rowItems count="92">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t="grand">
      <x/>
    </i>
  </rowItems>
  <colItems count="1">
    <i/>
  </colItems>
  <dataFields count="1">
    <dataField name="Sum of total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75A2F5B-1DA8-43F9-A998-8A276DE465E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36:M47"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axis="axisRow" showAll="0" sortType="descending">
      <items count="11">
        <item x="4"/>
        <item x="3"/>
        <item x="9"/>
        <item x="0"/>
        <item x="6"/>
        <item x="2"/>
        <item x="5"/>
        <item x="1"/>
        <item x="7"/>
        <item x="8"/>
        <item t="default"/>
      </items>
      <autoSortScope>
        <pivotArea dataOnly="0" outline="0" fieldPosition="0">
          <references count="1">
            <reference field="4294967294" count="1" selected="0">
              <x v="0"/>
            </reference>
          </references>
        </pivotArea>
      </autoSortScope>
    </pivotField>
    <pivotField showAll="0" sortType="descending">
      <items count="11">
        <item x="6"/>
        <item x="4"/>
        <item x="5"/>
        <item x="3"/>
        <item x="7"/>
        <item x="2"/>
        <item x="1"/>
        <item x="0"/>
        <item x="8"/>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numFmtId="164" showAll="0"/>
    <pivotField numFmtId="2"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1">
    <i>
      <x v="3"/>
    </i>
    <i>
      <x v="1"/>
    </i>
    <i>
      <x v="8"/>
    </i>
    <i>
      <x v="4"/>
    </i>
    <i>
      <x/>
    </i>
    <i>
      <x v="9"/>
    </i>
    <i>
      <x v="5"/>
    </i>
    <i>
      <x v="6"/>
    </i>
    <i>
      <x v="7"/>
    </i>
    <i>
      <x v="2"/>
    </i>
    <i t="grand">
      <x/>
    </i>
  </rowItems>
  <colItems count="1">
    <i/>
  </colItems>
  <dataFields count="1">
    <dataField name="Average of Unit Price (NGN)" fld="7" subtotal="average" baseField="0" baseItem="0"/>
  </dataFields>
  <formats count="1">
    <format dxfId="7">
      <pivotArea collapsedLevelsAreSubtotals="1" fieldPosition="0">
        <references count="1">
          <reference field="4" count="0"/>
        </references>
      </pivotArea>
    </format>
  </formats>
  <chartFormats count="2">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B25E23-1986-4542-8B73-757353D25D4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8:Y11" firstHeaderRow="1" firstDataRow="1" firstDataCol="1"/>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3">
    <i>
      <x/>
    </i>
    <i>
      <x v="1"/>
    </i>
    <i t="grand">
      <x/>
    </i>
  </rowItems>
  <colItems count="1">
    <i/>
  </colItems>
  <dataFields count="1">
    <dataField name="Sum of total sales" fld="11" baseField="0" baseItem="0"/>
  </dataFields>
  <formats count="1">
    <format dxfId="8">
      <pivotArea collapsedLevelsAreSubtotals="1" fieldPosition="0">
        <references count="1">
          <reference field="9" count="0"/>
        </references>
      </pivotArea>
    </format>
  </format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A1800FC-4B92-4AE1-91B7-ED45C0BF5E8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89:P90" firstHeaderRow="1" firstDataRow="1" firstDataCol="0"/>
  <pivotFields count="17">
    <pivotField numFmtId="14" showAll="0">
      <items count="92">
        <item x="56"/>
        <item x="3"/>
        <item x="45"/>
        <item x="89"/>
        <item x="74"/>
        <item x="37"/>
        <item x="58"/>
        <item x="52"/>
        <item x="66"/>
        <item x="14"/>
        <item x="80"/>
        <item x="59"/>
        <item x="57"/>
        <item x="76"/>
        <item x="35"/>
        <item x="16"/>
        <item x="61"/>
        <item x="2"/>
        <item x="25"/>
        <item x="81"/>
        <item x="19"/>
        <item x="60"/>
        <item x="1"/>
        <item x="51"/>
        <item x="86"/>
        <item x="41"/>
        <item x="75"/>
        <item x="39"/>
        <item x="77"/>
        <item x="40"/>
        <item x="20"/>
        <item x="9"/>
        <item x="13"/>
        <item x="47"/>
        <item x="32"/>
        <item x="88"/>
        <item x="54"/>
        <item x="68"/>
        <item x="29"/>
        <item x="78"/>
        <item x="87"/>
        <item x="0"/>
        <item x="71"/>
        <item x="62"/>
        <item x="53"/>
        <item x="24"/>
        <item x="64"/>
        <item x="84"/>
        <item x="38"/>
        <item x="42"/>
        <item x="12"/>
        <item x="69"/>
        <item x="27"/>
        <item x="15"/>
        <item x="55"/>
        <item x="21"/>
        <item x="73"/>
        <item x="72"/>
        <item x="49"/>
        <item x="44"/>
        <item x="48"/>
        <item x="30"/>
        <item x="90"/>
        <item x="43"/>
        <item x="18"/>
        <item x="26"/>
        <item x="5"/>
        <item x="23"/>
        <item x="82"/>
        <item x="70"/>
        <item x="34"/>
        <item x="67"/>
        <item x="50"/>
        <item x="85"/>
        <item x="28"/>
        <item x="79"/>
        <item x="7"/>
        <item x="33"/>
        <item x="83"/>
        <item x="8"/>
        <item x="17"/>
        <item x="36"/>
        <item x="22"/>
        <item x="11"/>
        <item x="10"/>
        <item x="63"/>
        <item x="46"/>
        <item x="4"/>
        <item x="31"/>
        <item x="6"/>
        <item x="65"/>
        <item t="default"/>
      </items>
    </pivotField>
    <pivotField showAll="0"/>
    <pivotField showAll="0">
      <items count="6">
        <item x="1"/>
        <item x="3"/>
        <item x="4"/>
        <item x="0"/>
        <item x="2"/>
        <item t="default"/>
      </items>
    </pivotField>
    <pivotField showAll="0">
      <items count="9">
        <item x="3"/>
        <item x="0"/>
        <item x="5"/>
        <item x="7"/>
        <item x="6"/>
        <item x="2"/>
        <item x="1"/>
        <item x="4"/>
        <item t="default"/>
      </items>
    </pivotField>
    <pivotField showAll="0">
      <items count="11">
        <item x="4"/>
        <item x="3"/>
        <item x="9"/>
        <item x="0"/>
        <item x="6"/>
        <item x="2"/>
        <item x="5"/>
        <item x="1"/>
        <item x="7"/>
        <item x="8"/>
        <item t="default"/>
      </items>
    </pivotField>
    <pivotField showAll="0">
      <items count="11">
        <item x="6"/>
        <item x="4"/>
        <item x="5"/>
        <item x="3"/>
        <item x="7"/>
        <item x="2"/>
        <item x="1"/>
        <item x="0"/>
        <item x="8"/>
        <item x="9"/>
        <item t="default"/>
      </items>
    </pivotField>
    <pivotField showAll="0"/>
    <pivotField showAll="0"/>
    <pivotField dataField="1" showAll="0"/>
    <pivotField showAll="0"/>
    <pivotField showAll="0"/>
    <pivotField numFmtId="164" showAll="0"/>
    <pivotField numFmtId="164" showAll="0"/>
    <pivotField numFmtId="2"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Customer Nam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CF4230-DEA4-401C-8134-CA83C9774C8E}" sourceName="Region">
  <pivotTables>
    <pivotTable tabId="4" name="PivotTable14"/>
    <pivotTable tabId="4" name="PivotTable1"/>
    <pivotTable tabId="4" name="PivotTable10"/>
    <pivotTable tabId="4" name="PivotTable11"/>
    <pivotTable tabId="4" name="PivotTable12"/>
    <pivotTable tabId="4" name="PivotTable13"/>
    <pivotTable tabId="4" name="PivotTable17"/>
    <pivotTable tabId="4" name="PivotTable18"/>
    <pivotTable tabId="4" name="PivotTable19"/>
    <pivotTable tabId="4" name="PivotTable2"/>
    <pivotTable tabId="4" name="PivotTable22"/>
    <pivotTable tabId="4" name="PivotTable23"/>
    <pivotTable tabId="4" name="PivotTable26"/>
    <pivotTable tabId="4" name="PivotTable27"/>
    <pivotTable tabId="4" name="PivotTable28"/>
    <pivotTable tabId="4" name="PivotTable3"/>
    <pivotTable tabId="4" name="PivotTable4"/>
    <pivotTable tabId="4" name="PivotTable5"/>
    <pivotTable tabId="4" name="PivotTable6"/>
    <pivotTable tabId="4" name="PivotTable8"/>
    <pivotTable tabId="4" name="PivotTable9"/>
    <pivotTable tabId="4" name="PivotTable7"/>
  </pivotTables>
  <data>
    <tabular pivotCacheId="1581524374">
      <items count="5">
        <i x="1"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B025371-9305-4A3B-A49E-ED5153F6CA87}" sourceName="Salesperson">
  <pivotTables>
    <pivotTable tabId="4" name="PivotTable14"/>
    <pivotTable tabId="4" name="PivotTable1"/>
    <pivotTable tabId="4" name="PivotTable10"/>
    <pivotTable tabId="4" name="PivotTable11"/>
    <pivotTable tabId="4" name="PivotTable12"/>
    <pivotTable tabId="4" name="PivotTable13"/>
    <pivotTable tabId="4" name="PivotTable17"/>
    <pivotTable tabId="4" name="PivotTable18"/>
    <pivotTable tabId="4" name="PivotTable19"/>
    <pivotTable tabId="4" name="PivotTable2"/>
    <pivotTable tabId="4" name="PivotTable22"/>
    <pivotTable tabId="4" name="PivotTable23"/>
    <pivotTable tabId="4" name="PivotTable26"/>
    <pivotTable tabId="4" name="PivotTable27"/>
    <pivotTable tabId="4" name="PivotTable28"/>
    <pivotTable tabId="4" name="PivotTable3"/>
    <pivotTable tabId="4" name="PivotTable4"/>
    <pivotTable tabId="4" name="PivotTable5"/>
    <pivotTable tabId="4" name="PivotTable6"/>
    <pivotTable tabId="4" name="PivotTable7"/>
    <pivotTable tabId="4" name="PivotTable8"/>
    <pivotTable tabId="4" name="PivotTable9"/>
  </pivotTables>
  <data>
    <tabular pivotCacheId="1581524374">
      <items count="8">
        <i x="3" s="1"/>
        <i x="0" s="1"/>
        <i x="5" s="1"/>
        <i x="7" s="1"/>
        <i x="6"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4180858-3C41-4D55-839C-CB158ED3B923}" sourceName="Product">
  <pivotTables>
    <pivotTable tabId="4" name="PivotTable3"/>
    <pivotTable tabId="4" name="PivotTable1"/>
    <pivotTable tabId="4" name="PivotTable10"/>
    <pivotTable tabId="4" name="PivotTable11"/>
    <pivotTable tabId="4" name="PivotTable12"/>
    <pivotTable tabId="4" name="PivotTable13"/>
    <pivotTable tabId="4" name="PivotTable14"/>
    <pivotTable tabId="4" name="PivotTable17"/>
    <pivotTable tabId="4" name="PivotTable18"/>
    <pivotTable tabId="4" name="PivotTable19"/>
    <pivotTable tabId="4" name="PivotTable2"/>
    <pivotTable tabId="4" name="PivotTable22"/>
    <pivotTable tabId="4" name="PivotTable23"/>
    <pivotTable tabId="4" name="PivotTable26"/>
    <pivotTable tabId="4" name="PivotTable27"/>
    <pivotTable tabId="4" name="PivotTable28"/>
    <pivotTable tabId="4" name="PivotTable4"/>
    <pivotTable tabId="4" name="PivotTable5"/>
    <pivotTable tabId="4" name="PivotTable6"/>
    <pivotTable tabId="4" name="PivotTable7"/>
    <pivotTable tabId="4" name="PivotTable8"/>
    <pivotTable tabId="4" name="PivotTable9"/>
  </pivotTables>
  <data>
    <tabular pivotCacheId="1581524374">
      <items count="10">
        <i x="4" s="1"/>
        <i x="3" s="1"/>
        <i x="9" s="1"/>
        <i x="0" s="1"/>
        <i x="6" s="1"/>
        <i x="2" s="1"/>
        <i x="5" s="1"/>
        <i x="1" s="1"/>
        <i x="7"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09E78C-39C2-4A8B-8177-27FA4D66B64D}" sourceName="Category">
  <pivotTables>
    <pivotTable tabId="4" name="PivotTable18"/>
    <pivotTable tabId="4" name="PivotTable1"/>
    <pivotTable tabId="4" name="PivotTable10"/>
    <pivotTable tabId="4" name="PivotTable11"/>
    <pivotTable tabId="4" name="PivotTable12"/>
    <pivotTable tabId="4" name="PivotTable13"/>
    <pivotTable tabId="4" name="PivotTable14"/>
    <pivotTable tabId="4" name="PivotTable17"/>
    <pivotTable tabId="4" name="PivotTable19"/>
    <pivotTable tabId="4" name="PivotTable2"/>
    <pivotTable tabId="4" name="PivotTable22"/>
    <pivotTable tabId="4" name="PivotTable23"/>
    <pivotTable tabId="4" name="PivotTable26"/>
    <pivotTable tabId="4" name="PivotTable27"/>
    <pivotTable tabId="4" name="PivotTable28"/>
    <pivotTable tabId="4" name="PivotTable3"/>
    <pivotTable tabId="4" name="PivotTable4"/>
    <pivotTable tabId="4" name="PivotTable5"/>
    <pivotTable tabId="4" name="PivotTable6"/>
    <pivotTable tabId="4" name="PivotTable7"/>
    <pivotTable tabId="4" name="PivotTable8"/>
    <pivotTable tabId="4" name="PivotTable9"/>
  </pivotTables>
  <data>
    <tabular pivotCacheId="1581524374">
      <items count="10">
        <i x="6" s="1"/>
        <i x="4" s="1"/>
        <i x="5" s="1"/>
        <i x="3" s="1"/>
        <i x="7" s="1"/>
        <i x="2" s="1"/>
        <i x="1" s="1"/>
        <i x="0"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5596D3-57E5-4B80-B52F-0D8FFE143BBE}" cache="Slicer_Region" caption="Region" columnCount="2" style="Slicer Style 1" rowHeight="241300"/>
  <slicer name="Salesperson" xr10:uid="{96BFF5B8-9ED2-461C-8853-9E2A0926F18E}" cache="Slicer_Salesperson" caption="Salesperson" columnCount="2" style="Slicer Style 1" rowHeight="241300"/>
  <slicer name="Product" xr10:uid="{04409E81-E915-48A9-97F6-1BF87E61F501}" cache="Slicer_Product" caption="Product" style="Slicer Style 1" rowHeight="241300"/>
  <slicer name="Category" xr10:uid="{A7AE988B-F03B-4D57-AF87-1A7B0D639275}" cache="Slicer_Category" caption="Category"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A08DA4E-4712-4792-8CD4-363187755BDF}" cache="Slicer_Region" caption="Region" columnCount="2" style="Slicer Style 1" rowHeight="241300"/>
  <slicer name="Salesperson 1" xr10:uid="{76675C1F-FCF0-4C52-AB2C-88DDEAAA9DB5}" cache="Slicer_Salesperson" caption="Salesperson" columnCount="2" style="Slicer Style 1" rowHeight="241300"/>
  <slicer name="Product 1" xr10:uid="{E8D97BEC-8801-4532-ABE8-56236DB55A3E}" cache="Slicer_Product" caption="Product" startItem="3" style="Slicer Style 1" rowHeight="241300"/>
  <slicer name="Category 1" xr10:uid="{324291BB-B51E-4EDE-B0F5-921D14BECBD8}" cache="Slicer_Category" caption="Category"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492136C-0C52-4EED-97AC-EC5745B9B6A5}" cache="Slicer_Region" caption="Region" columnCount="2" style="Slicer Style 1" rowHeight="241300"/>
  <slicer name="Salesperson 2" xr10:uid="{A3DEC7D0-08A5-419E-A414-48924E153EC7}" cache="Slicer_Salesperson" caption="Salesperson" columnCount="2" style="Slicer Style 1" rowHeight="241300"/>
  <slicer name="Product 2" xr10:uid="{023D8DDF-BEB2-4F02-A0AE-3BA84E62FE04}" cache="Slicer_Product" caption="Product" startItem="3" style="Slicer Style 1" rowHeight="241300"/>
  <slicer name="Category 2" xr10:uid="{C0EB3C4D-09FE-452D-85E4-42CFCB83DF30}" cache="Slicer_Category" caption="Category" style="Slicer Style 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12CF4FA4-A7EA-4C37-880F-372B9F14534C}" cache="Slicer_Region" caption="Region" columnCount="2" style="Slicer Style 1" rowHeight="241300"/>
  <slicer name="Salesperson 3" xr10:uid="{28C713F7-09FB-4129-9FDB-FDD840F84E49}" cache="Slicer_Salesperson" caption="Salesperson" columnCount="2" style="Slicer Style 1" rowHeight="241300"/>
  <slicer name="Product 3" xr10:uid="{094E780C-7748-44B2-93BC-94F8E46E9C1D}" cache="Slicer_Product" caption="Product" startItem="3" style="Slicer Style 1" rowHeight="241300"/>
  <slicer name="Category 3" xr10:uid="{B74CE038-4DA9-4EB9-91B4-6F676CC219AE}" cache="Slicer_Category" caption="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8F848F-27C2-4A8A-9A19-78C02096E99A}" name="Table3" displayName="Table3" ref="A1:O801" totalsRowShown="0">
  <autoFilter ref="A1:O801" xr:uid="{E78F848F-27C2-4A8A-9A19-78C02096E99A}"/>
  <tableColumns count="15">
    <tableColumn id="1" xr3:uid="{12BA1012-6E24-4063-8284-57C7F32ACE42}" name="Date" dataDxfId="13"/>
    <tableColumn id="2" xr3:uid="{8E6917BA-C822-41FE-83F2-236525D6E91D}" name="Daily trend">
      <calculatedColumnFormula>DAY(A2)</calculatedColumnFormula>
    </tableColumn>
    <tableColumn id="3" xr3:uid="{4C877F1C-7D81-4E09-BDE1-A47D416B8B55}" name="Region"/>
    <tableColumn id="4" xr3:uid="{25C22E09-585E-4560-BAA7-9D1C5750D2AA}" name="Salesperson"/>
    <tableColumn id="5" xr3:uid="{C226416D-712B-4FD2-9F96-A64921C59B0C}" name="Product"/>
    <tableColumn id="6" xr3:uid="{652A8D3C-39AC-4BF7-8FF6-8E1CBE77EBD7}" name="Category"/>
    <tableColumn id="7" xr3:uid="{49655185-A826-4B0C-B87F-167E3A6F7B76}" name="Quantity Sold"/>
    <tableColumn id="8" xr3:uid="{5DDAB43A-A206-4533-8D7D-6C6F46196EE0}" name="Unit Price (NGN)"/>
    <tableColumn id="9" xr3:uid="{5416576C-4385-4717-9D16-4BC4C9AFF7FD}" name="Customer Name"/>
    <tableColumn id="10" xr3:uid="{1C2E2515-0B08-452F-A6DD-E5EF5C865057}" name="Gender"/>
    <tableColumn id="11" xr3:uid="{1584E476-06CE-4273-A105-D8C41D875588}" name="Cost Price (NGN)"/>
    <tableColumn id="12" xr3:uid="{3616B8C2-99C8-4FCA-82F4-961D756E0990}" name="total sales" dataDxfId="12">
      <calculatedColumnFormula>G2*H2</calculatedColumnFormula>
    </tableColumn>
    <tableColumn id="13" xr3:uid="{215D76C8-B200-476B-98D0-0C7755A924CA}" name="PROFIT" dataDxfId="11">
      <calculatedColumnFormula>dataset!$L2-T2</calculatedColumnFormula>
    </tableColumn>
    <tableColumn id="14" xr3:uid="{B01E58D3-74EE-4DB8-B326-FD0BD9A61C8D}" name="PROFIT MARGIN" dataDxfId="10">
      <calculatedColumnFormula>dataset!$M2/dataset!$L2*100</calculatedColumnFormula>
    </tableColumn>
    <tableColumn id="15" xr3:uid="{372F3FB5-3760-453B-BA95-413C524E0926}" name="COST PRICE" dataDxfId="9" dataCellStyle="Currency">
      <calculatedColumnFormula>dataset!$K2*dataset!$G2</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01"/>
  <sheetViews>
    <sheetView topLeftCell="G1" workbookViewId="0">
      <selection activeCell="Q14" sqref="Q14"/>
    </sheetView>
  </sheetViews>
  <sheetFormatPr defaultRowHeight="14.5" x14ac:dyDescent="0.35"/>
  <cols>
    <col min="1" max="1" width="10.26953125" style="2" customWidth="1"/>
    <col min="2" max="2" width="12" style="2" customWidth="1"/>
    <col min="3" max="3" width="10.26953125" style="2" customWidth="1"/>
    <col min="4" max="5" width="12.81640625" customWidth="1"/>
    <col min="6" max="6" width="10.26953125" customWidth="1"/>
    <col min="7" max="7" width="14.1796875" customWidth="1"/>
    <col min="8" max="8" width="17.7265625" customWidth="1"/>
    <col min="9" max="9" width="16.453125" style="7" customWidth="1"/>
    <col min="10" max="10" width="16.36328125" style="8" customWidth="1"/>
    <col min="11" max="11" width="17.90625" customWidth="1"/>
    <col min="12" max="12" width="16.6328125" style="7" customWidth="1"/>
    <col min="13" max="13" width="13.81640625" style="7" customWidth="1"/>
    <col min="14" max="14" width="17.1796875" style="24" customWidth="1"/>
    <col min="15" max="15" width="17.1796875" style="25" customWidth="1"/>
    <col min="16" max="16" width="17.1796875" style="9" customWidth="1"/>
    <col min="17" max="17" width="28" customWidth="1"/>
  </cols>
  <sheetData>
    <row r="1" spans="1:20" x14ac:dyDescent="0.35">
      <c r="A1" s="2" t="s">
        <v>0</v>
      </c>
      <c r="B1" t="s">
        <v>904</v>
      </c>
      <c r="C1" t="s">
        <v>1</v>
      </c>
      <c r="D1" t="s">
        <v>2</v>
      </c>
      <c r="E1" t="s">
        <v>3</v>
      </c>
      <c r="F1" t="s">
        <v>4</v>
      </c>
      <c r="G1" t="s">
        <v>5</v>
      </c>
      <c r="H1" t="s">
        <v>6</v>
      </c>
      <c r="I1" t="s">
        <v>7</v>
      </c>
      <c r="J1" t="s">
        <v>8</v>
      </c>
      <c r="K1" t="s">
        <v>9</v>
      </c>
      <c r="L1" s="7" t="s">
        <v>873</v>
      </c>
      <c r="M1" s="7" t="s">
        <v>882</v>
      </c>
      <c r="N1" s="7" t="s">
        <v>881</v>
      </c>
      <c r="O1" s="25" t="s">
        <v>902</v>
      </c>
      <c r="P1"/>
      <c r="Q1" s="3" t="s">
        <v>878</v>
      </c>
      <c r="T1" s="3" t="s">
        <v>877</v>
      </c>
    </row>
    <row r="2" spans="1:20" x14ac:dyDescent="0.35">
      <c r="A2" s="2">
        <v>45789</v>
      </c>
      <c r="B2">
        <f>DAY(A2)</f>
        <v>12</v>
      </c>
      <c r="C2" t="s">
        <v>10</v>
      </c>
      <c r="D2" t="s">
        <v>11</v>
      </c>
      <c r="E2" t="s">
        <v>12</v>
      </c>
      <c r="F2" t="s">
        <v>13</v>
      </c>
      <c r="G2">
        <v>36</v>
      </c>
      <c r="H2">
        <v>789</v>
      </c>
      <c r="I2" t="s">
        <v>14</v>
      </c>
      <c r="J2" t="s">
        <v>15</v>
      </c>
      <c r="K2">
        <v>700</v>
      </c>
      <c r="L2" s="7">
        <f t="shared" ref="L2:L65" si="0">G2*H2</f>
        <v>28404</v>
      </c>
      <c r="M2" s="7">
        <f>dataset!$L2-T2</f>
        <v>3204</v>
      </c>
      <c r="N2" s="7">
        <f>dataset!$M2/dataset!$L2*100</f>
        <v>11.280101394169835</v>
      </c>
      <c r="O2" s="25">
        <f>dataset!$K2*dataset!$G2</f>
        <v>25200</v>
      </c>
      <c r="P2" s="3" t="s">
        <v>879</v>
      </c>
      <c r="Q2">
        <f>COUNTA(H2:H801)</f>
        <v>800</v>
      </c>
      <c r="T2">
        <f>dataset!$K2*dataset!$G2</f>
        <v>25200</v>
      </c>
    </row>
    <row r="3" spans="1:20" x14ac:dyDescent="0.35">
      <c r="A3" s="2">
        <v>45770</v>
      </c>
      <c r="B3">
        <f t="shared" ref="B3:B66" si="1">DAY(A3)</f>
        <v>23</v>
      </c>
      <c r="C3" t="s">
        <v>10</v>
      </c>
      <c r="D3" t="s">
        <v>21</v>
      </c>
      <c r="E3" t="s">
        <v>42</v>
      </c>
      <c r="F3" t="s">
        <v>23</v>
      </c>
      <c r="G3">
        <v>23</v>
      </c>
      <c r="H3">
        <v>774</v>
      </c>
      <c r="I3" t="s">
        <v>44</v>
      </c>
      <c r="J3" t="s">
        <v>25</v>
      </c>
      <c r="K3">
        <v>700</v>
      </c>
      <c r="L3" s="7">
        <f t="shared" si="0"/>
        <v>17802</v>
      </c>
      <c r="M3" s="7">
        <f>dataset!$L3-T3</f>
        <v>1702</v>
      </c>
      <c r="N3" s="7">
        <f>dataset!$M3/dataset!$L3*100</f>
        <v>9.5607235142118849</v>
      </c>
      <c r="O3" s="25">
        <f>dataset!$K3*dataset!$G3</f>
        <v>16100</v>
      </c>
      <c r="P3" t="str">
        <f>INDEX(E2:E801,MATCH(MAX(H2:H801),H2:H801,0))</f>
        <v>Rice</v>
      </c>
      <c r="T3">
        <f>dataset!$K3*dataset!$G3</f>
        <v>16100</v>
      </c>
    </row>
    <row r="4" spans="1:20" x14ac:dyDescent="0.35">
      <c r="A4" s="2">
        <v>45765</v>
      </c>
      <c r="B4">
        <f t="shared" si="1"/>
        <v>18</v>
      </c>
      <c r="C4" t="s">
        <v>26</v>
      </c>
      <c r="D4" t="s">
        <v>33</v>
      </c>
      <c r="E4" t="s">
        <v>22</v>
      </c>
      <c r="F4" t="s">
        <v>59</v>
      </c>
      <c r="G4">
        <v>48</v>
      </c>
      <c r="H4">
        <v>2262</v>
      </c>
      <c r="I4" t="s">
        <v>144</v>
      </c>
      <c r="J4" t="s">
        <v>15</v>
      </c>
      <c r="K4">
        <v>2000</v>
      </c>
      <c r="L4" s="7">
        <f t="shared" si="0"/>
        <v>108576</v>
      </c>
      <c r="M4" s="7">
        <f>dataset!$L4-T4</f>
        <v>12576</v>
      </c>
      <c r="N4" s="7">
        <f>dataset!$M4/dataset!$L4*100</f>
        <v>11.582670203359859</v>
      </c>
      <c r="O4" s="25">
        <f>dataset!$K4*dataset!$G4</f>
        <v>96000</v>
      </c>
      <c r="P4"/>
      <c r="T4">
        <f>dataset!$K4*dataset!$G4</f>
        <v>96000</v>
      </c>
    </row>
    <row r="5" spans="1:20" x14ac:dyDescent="0.35">
      <c r="A5" s="2">
        <v>45749</v>
      </c>
      <c r="B5">
        <f t="shared" si="1"/>
        <v>2</v>
      </c>
      <c r="C5" t="s">
        <v>26</v>
      </c>
      <c r="D5" t="s">
        <v>21</v>
      </c>
      <c r="E5" t="s">
        <v>42</v>
      </c>
      <c r="F5" t="s">
        <v>56</v>
      </c>
      <c r="G5">
        <v>25</v>
      </c>
      <c r="H5">
        <v>2064</v>
      </c>
      <c r="I5" t="s">
        <v>145</v>
      </c>
      <c r="J5" t="s">
        <v>15</v>
      </c>
      <c r="K5">
        <v>1800</v>
      </c>
      <c r="L5" s="7">
        <f t="shared" si="0"/>
        <v>51600</v>
      </c>
      <c r="M5" s="7">
        <f>dataset!$L5-T5</f>
        <v>6600</v>
      </c>
      <c r="N5" s="7">
        <f>dataset!$M5/dataset!$L5*100</f>
        <v>12.790697674418606</v>
      </c>
      <c r="O5" s="25">
        <f>dataset!$K5*dataset!$G5</f>
        <v>45000</v>
      </c>
      <c r="P5"/>
      <c r="T5">
        <f>dataset!$K5*dataset!$G5</f>
        <v>45000</v>
      </c>
    </row>
    <row r="6" spans="1:20" x14ac:dyDescent="0.35">
      <c r="A6" s="2">
        <v>45835</v>
      </c>
      <c r="B6">
        <f t="shared" si="1"/>
        <v>27</v>
      </c>
      <c r="C6" t="s">
        <v>20</v>
      </c>
      <c r="D6" t="s">
        <v>11</v>
      </c>
      <c r="E6" t="s">
        <v>67</v>
      </c>
      <c r="F6" t="s">
        <v>37</v>
      </c>
      <c r="G6">
        <v>5</v>
      </c>
      <c r="H6">
        <v>2989</v>
      </c>
      <c r="I6" t="s">
        <v>146</v>
      </c>
      <c r="J6" t="s">
        <v>15</v>
      </c>
      <c r="K6">
        <v>2400</v>
      </c>
      <c r="L6" s="7">
        <f t="shared" si="0"/>
        <v>14945</v>
      </c>
      <c r="M6" s="7">
        <f>dataset!$L6-T6</f>
        <v>2945</v>
      </c>
      <c r="N6" s="7">
        <f>dataset!$M6/dataset!$L6*100</f>
        <v>19.705587152893944</v>
      </c>
      <c r="O6" s="25">
        <f>dataset!$K6*dataset!$G6</f>
        <v>12000</v>
      </c>
      <c r="P6"/>
      <c r="T6">
        <f>dataset!$K6*dataset!$G6</f>
        <v>12000</v>
      </c>
    </row>
    <row r="7" spans="1:20" x14ac:dyDescent="0.35">
      <c r="A7" s="2">
        <v>45814</v>
      </c>
      <c r="B7">
        <f t="shared" si="1"/>
        <v>6</v>
      </c>
      <c r="C7" t="s">
        <v>20</v>
      </c>
      <c r="D7" t="s">
        <v>11</v>
      </c>
      <c r="E7" t="s">
        <v>54</v>
      </c>
      <c r="F7" t="s">
        <v>13</v>
      </c>
      <c r="G7">
        <v>17</v>
      </c>
      <c r="H7">
        <v>708</v>
      </c>
      <c r="I7" t="s">
        <v>147</v>
      </c>
      <c r="J7" t="s">
        <v>25</v>
      </c>
      <c r="K7">
        <v>500</v>
      </c>
      <c r="L7" s="7">
        <f t="shared" si="0"/>
        <v>12036</v>
      </c>
      <c r="M7" s="7">
        <f>dataset!$L7-T7</f>
        <v>3536</v>
      </c>
      <c r="N7" s="7">
        <f>dataset!$M7/dataset!$L7*100</f>
        <v>29.378531073446329</v>
      </c>
      <c r="O7" s="25">
        <f>dataset!$K7*dataset!$G7</f>
        <v>8500</v>
      </c>
      <c r="P7"/>
      <c r="T7">
        <f>dataset!$K7*dataset!$G7</f>
        <v>8500</v>
      </c>
    </row>
    <row r="8" spans="1:20" x14ac:dyDescent="0.35">
      <c r="A8" s="2">
        <v>45837</v>
      </c>
      <c r="B8">
        <f t="shared" si="1"/>
        <v>29</v>
      </c>
      <c r="C8" t="s">
        <v>26</v>
      </c>
      <c r="D8" t="s">
        <v>27</v>
      </c>
      <c r="E8" t="s">
        <v>67</v>
      </c>
      <c r="F8" t="s">
        <v>23</v>
      </c>
      <c r="G8">
        <v>25</v>
      </c>
      <c r="H8">
        <v>1859</v>
      </c>
      <c r="I8" t="s">
        <v>148</v>
      </c>
      <c r="J8" t="s">
        <v>25</v>
      </c>
      <c r="K8">
        <v>1250</v>
      </c>
      <c r="L8" s="7">
        <f t="shared" si="0"/>
        <v>46475</v>
      </c>
      <c r="M8" s="7">
        <f>dataset!$L8-T8</f>
        <v>15225</v>
      </c>
      <c r="N8" s="7">
        <f>dataset!$M8/dataset!$L8*100</f>
        <v>32.759548144163531</v>
      </c>
      <c r="O8" s="25">
        <f>dataset!$K8*dataset!$G8</f>
        <v>31250</v>
      </c>
      <c r="P8"/>
      <c r="T8">
        <f>dataset!$K8*dataset!$G8</f>
        <v>31250</v>
      </c>
    </row>
    <row r="9" spans="1:20" x14ac:dyDescent="0.35">
      <c r="A9" s="2">
        <v>45824</v>
      </c>
      <c r="B9">
        <f t="shared" si="1"/>
        <v>16</v>
      </c>
      <c r="C9" t="s">
        <v>10</v>
      </c>
      <c r="D9" t="s">
        <v>46</v>
      </c>
      <c r="E9" t="s">
        <v>42</v>
      </c>
      <c r="F9" t="s">
        <v>56</v>
      </c>
      <c r="G9">
        <v>16</v>
      </c>
      <c r="H9">
        <v>2927</v>
      </c>
      <c r="I9" t="s">
        <v>149</v>
      </c>
      <c r="J9" t="s">
        <v>25</v>
      </c>
      <c r="K9">
        <v>2000</v>
      </c>
      <c r="L9" s="7">
        <f t="shared" si="0"/>
        <v>46832</v>
      </c>
      <c r="M9" s="7">
        <f>dataset!$L9-T9</f>
        <v>14832</v>
      </c>
      <c r="N9" s="7">
        <f>dataset!$M9/dataset!$L9*100</f>
        <v>31.67065254526819</v>
      </c>
      <c r="O9" s="25">
        <f>dataset!$K9*dataset!$G9</f>
        <v>32000</v>
      </c>
      <c r="P9"/>
      <c r="Q9" s="26"/>
      <c r="T9">
        <f>dataset!$K9*dataset!$G9</f>
        <v>32000</v>
      </c>
    </row>
    <row r="10" spans="1:20" x14ac:dyDescent="0.35">
      <c r="A10" s="2">
        <v>45827</v>
      </c>
      <c r="B10">
        <f t="shared" si="1"/>
        <v>19</v>
      </c>
      <c r="C10" t="s">
        <v>29</v>
      </c>
      <c r="D10" t="s">
        <v>33</v>
      </c>
      <c r="E10" t="s">
        <v>17</v>
      </c>
      <c r="F10" t="s">
        <v>40</v>
      </c>
      <c r="G10">
        <v>29</v>
      </c>
      <c r="H10">
        <v>911</v>
      </c>
      <c r="I10" t="s">
        <v>150</v>
      </c>
      <c r="J10" t="s">
        <v>15</v>
      </c>
      <c r="K10">
        <v>750</v>
      </c>
      <c r="L10" s="7">
        <f t="shared" si="0"/>
        <v>26419</v>
      </c>
      <c r="M10" s="7">
        <f>dataset!$L10-T10</f>
        <v>4669</v>
      </c>
      <c r="N10" s="7">
        <f>dataset!$M10/dataset!$L10*100</f>
        <v>17.672886937431397</v>
      </c>
      <c r="O10" s="25">
        <f>dataset!$K10*dataset!$G10</f>
        <v>21750</v>
      </c>
      <c r="P10"/>
      <c r="T10">
        <f>dataset!$K10*dataset!$G10</f>
        <v>21750</v>
      </c>
    </row>
    <row r="11" spans="1:20" x14ac:dyDescent="0.35">
      <c r="A11" s="2">
        <v>45779</v>
      </c>
      <c r="B11">
        <f t="shared" si="1"/>
        <v>2</v>
      </c>
      <c r="C11" t="s">
        <v>10</v>
      </c>
      <c r="D11" t="s">
        <v>11</v>
      </c>
      <c r="E11" t="s">
        <v>54</v>
      </c>
      <c r="F11" t="s">
        <v>23</v>
      </c>
      <c r="G11">
        <v>16</v>
      </c>
      <c r="H11">
        <v>2068</v>
      </c>
      <c r="I11" t="s">
        <v>151</v>
      </c>
      <c r="J11" t="s">
        <v>25</v>
      </c>
      <c r="K11">
        <v>1150</v>
      </c>
      <c r="L11" s="7">
        <f t="shared" si="0"/>
        <v>33088</v>
      </c>
      <c r="M11" s="7">
        <f>dataset!$L11-T11</f>
        <v>14688</v>
      </c>
      <c r="N11" s="7">
        <f>dataset!$M11/dataset!$L11*100</f>
        <v>44.390715667311412</v>
      </c>
      <c r="O11" s="25">
        <f>dataset!$K11*dataset!$G11</f>
        <v>18400</v>
      </c>
      <c r="P11"/>
      <c r="T11">
        <f>dataset!$K11*dataset!$G11</f>
        <v>18400</v>
      </c>
    </row>
    <row r="12" spans="1:20" x14ac:dyDescent="0.35">
      <c r="A12" s="2">
        <v>45832</v>
      </c>
      <c r="B12">
        <f t="shared" si="1"/>
        <v>24</v>
      </c>
      <c r="C12" t="s">
        <v>10</v>
      </c>
      <c r="D12" t="s">
        <v>21</v>
      </c>
      <c r="E12" t="s">
        <v>12</v>
      </c>
      <c r="F12" t="s">
        <v>31</v>
      </c>
      <c r="G12">
        <v>16</v>
      </c>
      <c r="H12">
        <v>403</v>
      </c>
      <c r="I12" t="s">
        <v>152</v>
      </c>
      <c r="J12" t="s">
        <v>15</v>
      </c>
      <c r="K12">
        <v>300</v>
      </c>
      <c r="L12" s="7">
        <f t="shared" si="0"/>
        <v>6448</v>
      </c>
      <c r="M12" s="7">
        <f>dataset!$L12-T12</f>
        <v>1648</v>
      </c>
      <c r="N12" s="7">
        <f>dataset!$M12/dataset!$L12*100</f>
        <v>25.558312655086851</v>
      </c>
      <c r="O12" s="25">
        <f>dataset!$K12*dataset!$G12</f>
        <v>4800</v>
      </c>
      <c r="P12"/>
      <c r="T12">
        <f>dataset!$K12*dataset!$G12</f>
        <v>4800</v>
      </c>
    </row>
    <row r="13" spans="1:20" x14ac:dyDescent="0.35">
      <c r="A13" s="2">
        <v>45831</v>
      </c>
      <c r="B13">
        <f t="shared" si="1"/>
        <v>23</v>
      </c>
      <c r="C13" t="s">
        <v>10</v>
      </c>
      <c r="D13" t="s">
        <v>27</v>
      </c>
      <c r="E13" t="s">
        <v>17</v>
      </c>
      <c r="F13" t="s">
        <v>23</v>
      </c>
      <c r="G13">
        <v>35</v>
      </c>
      <c r="H13">
        <v>1100</v>
      </c>
      <c r="I13" t="s">
        <v>153</v>
      </c>
      <c r="J13" t="s">
        <v>15</v>
      </c>
      <c r="K13">
        <v>750</v>
      </c>
      <c r="L13" s="7">
        <f t="shared" si="0"/>
        <v>38500</v>
      </c>
      <c r="M13" s="7">
        <f>dataset!$L13-T13</f>
        <v>12250</v>
      </c>
      <c r="N13" s="7">
        <f>dataset!$M13/dataset!$L13*100</f>
        <v>31.818181818181817</v>
      </c>
      <c r="O13" s="25">
        <f>dataset!$K13*dataset!$G13</f>
        <v>26250</v>
      </c>
      <c r="P13"/>
      <c r="T13">
        <f>dataset!$K13*dataset!$G13</f>
        <v>26250</v>
      </c>
    </row>
    <row r="14" spans="1:20" x14ac:dyDescent="0.35">
      <c r="A14" s="2">
        <v>45798</v>
      </c>
      <c r="B14">
        <f t="shared" si="1"/>
        <v>21</v>
      </c>
      <c r="C14" t="s">
        <v>20</v>
      </c>
      <c r="D14" t="s">
        <v>36</v>
      </c>
      <c r="E14" t="s">
        <v>12</v>
      </c>
      <c r="F14" t="s">
        <v>23</v>
      </c>
      <c r="G14">
        <v>10</v>
      </c>
      <c r="H14">
        <v>2989</v>
      </c>
      <c r="I14" t="s">
        <v>45</v>
      </c>
      <c r="J14" t="s">
        <v>25</v>
      </c>
      <c r="K14">
        <v>2150</v>
      </c>
      <c r="L14" s="7">
        <f t="shared" si="0"/>
        <v>29890</v>
      </c>
      <c r="M14" s="7">
        <f>dataset!$L14-T14</f>
        <v>8390</v>
      </c>
      <c r="N14" s="7">
        <f>dataset!$M14/dataset!$L14*100</f>
        <v>28.069588491134155</v>
      </c>
      <c r="O14" s="25">
        <f>dataset!$K14*dataset!$G14</f>
        <v>21500</v>
      </c>
      <c r="P14"/>
      <c r="Q14" s="27">
        <v>122</v>
      </c>
      <c r="T14">
        <f>dataset!$K14*dataset!$G14</f>
        <v>21500</v>
      </c>
    </row>
    <row r="15" spans="1:20" x14ac:dyDescent="0.35">
      <c r="A15" s="2">
        <v>45749</v>
      </c>
      <c r="B15">
        <f t="shared" si="1"/>
        <v>2</v>
      </c>
      <c r="C15" t="s">
        <v>20</v>
      </c>
      <c r="D15" t="s">
        <v>33</v>
      </c>
      <c r="E15" t="s">
        <v>12</v>
      </c>
      <c r="F15" t="s">
        <v>52</v>
      </c>
      <c r="G15">
        <v>5</v>
      </c>
      <c r="H15">
        <v>2899</v>
      </c>
      <c r="I15" t="s">
        <v>154</v>
      </c>
      <c r="J15" t="s">
        <v>25</v>
      </c>
      <c r="K15">
        <v>1900</v>
      </c>
      <c r="L15" s="7">
        <f t="shared" si="0"/>
        <v>14495</v>
      </c>
      <c r="M15" s="7">
        <f>dataset!$L15-T15</f>
        <v>4995</v>
      </c>
      <c r="N15" s="7">
        <f>dataset!$M15/dataset!$L15*100</f>
        <v>34.46015867540531</v>
      </c>
      <c r="O15" s="25">
        <f>dataset!$K15*dataset!$G15</f>
        <v>9500</v>
      </c>
      <c r="P15">
        <f>MATCH("Customer_2",dataset!$I$2:$I$801,0)</f>
        <v>112</v>
      </c>
      <c r="T15">
        <f>dataset!$K15*dataset!$G15</f>
        <v>9500</v>
      </c>
    </row>
    <row r="16" spans="1:20" x14ac:dyDescent="0.35">
      <c r="A16" s="2">
        <v>45780</v>
      </c>
      <c r="B16">
        <f t="shared" si="1"/>
        <v>3</v>
      </c>
      <c r="C16" t="s">
        <v>35</v>
      </c>
      <c r="D16" t="s">
        <v>36</v>
      </c>
      <c r="E16" t="s">
        <v>42</v>
      </c>
      <c r="F16" t="s">
        <v>18</v>
      </c>
      <c r="G16">
        <v>50</v>
      </c>
      <c r="H16">
        <v>399</v>
      </c>
      <c r="I16" t="s">
        <v>155</v>
      </c>
      <c r="J16" t="s">
        <v>15</v>
      </c>
      <c r="K16">
        <v>300</v>
      </c>
      <c r="L16" s="7">
        <f t="shared" si="0"/>
        <v>19950</v>
      </c>
      <c r="M16" s="7">
        <f>dataset!$L16-T16</f>
        <v>4950</v>
      </c>
      <c r="N16" s="7">
        <f>dataset!$M16/dataset!$L16*100</f>
        <v>24.81203007518797</v>
      </c>
      <c r="O16" s="25">
        <f>dataset!$K16*dataset!$G16</f>
        <v>15000</v>
      </c>
      <c r="P16"/>
      <c r="T16">
        <f>dataset!$K16*dataset!$G16</f>
        <v>15000</v>
      </c>
    </row>
    <row r="17" spans="1:20" x14ac:dyDescent="0.35">
      <c r="A17" s="2">
        <v>45757</v>
      </c>
      <c r="B17">
        <f t="shared" si="1"/>
        <v>10</v>
      </c>
      <c r="C17" t="s">
        <v>29</v>
      </c>
      <c r="D17" t="s">
        <v>27</v>
      </c>
      <c r="E17" t="s">
        <v>30</v>
      </c>
      <c r="F17" t="s">
        <v>13</v>
      </c>
      <c r="G17">
        <v>47</v>
      </c>
      <c r="H17">
        <v>2118</v>
      </c>
      <c r="I17" t="s">
        <v>156</v>
      </c>
      <c r="J17" t="s">
        <v>25</v>
      </c>
      <c r="K17">
        <v>1500</v>
      </c>
      <c r="L17" s="7">
        <f t="shared" si="0"/>
        <v>99546</v>
      </c>
      <c r="M17" s="7">
        <f>dataset!$L17-T17</f>
        <v>29046</v>
      </c>
      <c r="N17" s="7">
        <f>dataset!$M17/dataset!$L17*100</f>
        <v>29.178470254957507</v>
      </c>
      <c r="O17" s="25">
        <f>dataset!$K17*dataset!$G17</f>
        <v>70500</v>
      </c>
      <c r="P17"/>
      <c r="T17">
        <f>dataset!$K17*dataset!$G17</f>
        <v>70500</v>
      </c>
    </row>
    <row r="18" spans="1:20" x14ac:dyDescent="0.35">
      <c r="A18" s="2">
        <v>45801</v>
      </c>
      <c r="B18">
        <f t="shared" si="1"/>
        <v>24</v>
      </c>
      <c r="C18" t="s">
        <v>26</v>
      </c>
      <c r="D18" t="s">
        <v>27</v>
      </c>
      <c r="E18" t="s">
        <v>30</v>
      </c>
      <c r="F18" t="s">
        <v>40</v>
      </c>
      <c r="G18">
        <v>14</v>
      </c>
      <c r="H18">
        <v>1826</v>
      </c>
      <c r="I18" t="s">
        <v>157</v>
      </c>
      <c r="J18" t="s">
        <v>25</v>
      </c>
      <c r="K18">
        <v>950</v>
      </c>
      <c r="L18" s="7">
        <f t="shared" si="0"/>
        <v>25564</v>
      </c>
      <c r="M18" s="7">
        <f>dataset!$L18-T18</f>
        <v>12264</v>
      </c>
      <c r="N18" s="7">
        <f>dataset!$M18/dataset!$L18*100</f>
        <v>47.973713033953999</v>
      </c>
      <c r="O18" s="25">
        <f>dataset!$K18*dataset!$G18</f>
        <v>13300</v>
      </c>
      <c r="P18"/>
      <c r="T18">
        <f>dataset!$K18*dataset!$G18</f>
        <v>13300</v>
      </c>
    </row>
    <row r="19" spans="1:20" x14ac:dyDescent="0.35">
      <c r="A19" s="2">
        <v>45763</v>
      </c>
      <c r="B19">
        <f t="shared" si="1"/>
        <v>16</v>
      </c>
      <c r="C19" t="s">
        <v>20</v>
      </c>
      <c r="D19" t="s">
        <v>46</v>
      </c>
      <c r="E19" t="s">
        <v>12</v>
      </c>
      <c r="F19" t="s">
        <v>37</v>
      </c>
      <c r="G19">
        <v>17</v>
      </c>
      <c r="H19">
        <v>2332</v>
      </c>
      <c r="I19" t="s">
        <v>158</v>
      </c>
      <c r="J19" t="s">
        <v>15</v>
      </c>
      <c r="K19">
        <v>1700</v>
      </c>
      <c r="L19" s="7">
        <f t="shared" si="0"/>
        <v>39644</v>
      </c>
      <c r="M19" s="7">
        <f>dataset!$L19-T19</f>
        <v>10744</v>
      </c>
      <c r="N19" s="7">
        <f>dataset!$M19/dataset!$L19*100</f>
        <v>27.101200686106345</v>
      </c>
      <c r="O19" s="25">
        <f>dataset!$K19*dataset!$G19</f>
        <v>28900</v>
      </c>
      <c r="P19"/>
      <c r="T19">
        <f>dataset!$K19*dataset!$G19</f>
        <v>28900</v>
      </c>
    </row>
    <row r="20" spans="1:20" x14ac:dyDescent="0.35">
      <c r="A20" s="2">
        <v>45770</v>
      </c>
      <c r="B20">
        <f t="shared" si="1"/>
        <v>23</v>
      </c>
      <c r="C20" t="s">
        <v>10</v>
      </c>
      <c r="D20" t="s">
        <v>16</v>
      </c>
      <c r="E20" t="s">
        <v>39</v>
      </c>
      <c r="F20" t="s">
        <v>23</v>
      </c>
      <c r="G20">
        <v>28</v>
      </c>
      <c r="H20">
        <v>2988</v>
      </c>
      <c r="I20" t="s">
        <v>159</v>
      </c>
      <c r="J20" t="s">
        <v>25</v>
      </c>
      <c r="K20">
        <v>1750</v>
      </c>
      <c r="L20" s="7">
        <f t="shared" si="0"/>
        <v>83664</v>
      </c>
      <c r="M20" s="7">
        <f>dataset!$L20-T20</f>
        <v>34664</v>
      </c>
      <c r="N20" s="7">
        <f>dataset!$M20/dataset!$L20*100</f>
        <v>41.43239625167336</v>
      </c>
      <c r="O20" s="25">
        <f>dataset!$K20*dataset!$G20</f>
        <v>49000</v>
      </c>
      <c r="P20"/>
      <c r="T20">
        <f>dataset!$K20*dataset!$G20</f>
        <v>49000</v>
      </c>
    </row>
    <row r="21" spans="1:20" x14ac:dyDescent="0.35">
      <c r="A21" s="2">
        <v>45828</v>
      </c>
      <c r="B21">
        <f t="shared" si="1"/>
        <v>20</v>
      </c>
      <c r="C21" t="s">
        <v>10</v>
      </c>
      <c r="D21" t="s">
        <v>11</v>
      </c>
      <c r="E21" t="s">
        <v>64</v>
      </c>
      <c r="F21" t="s">
        <v>18</v>
      </c>
      <c r="G21">
        <v>20</v>
      </c>
      <c r="H21">
        <v>1597</v>
      </c>
      <c r="I21" t="s">
        <v>160</v>
      </c>
      <c r="J21" t="s">
        <v>15</v>
      </c>
      <c r="K21">
        <v>1250</v>
      </c>
      <c r="L21" s="7">
        <f t="shared" si="0"/>
        <v>31940</v>
      </c>
      <c r="M21" s="7">
        <f>dataset!$L21-T21</f>
        <v>6940</v>
      </c>
      <c r="N21" s="7">
        <f>dataset!$M21/dataset!$L21*100</f>
        <v>21.728240450845334</v>
      </c>
      <c r="O21" s="25">
        <f>dataset!$K21*dataset!$G21</f>
        <v>25000</v>
      </c>
      <c r="P21"/>
      <c r="T21">
        <f>dataset!$K21*dataset!$G21</f>
        <v>25000</v>
      </c>
    </row>
    <row r="22" spans="1:20" x14ac:dyDescent="0.35">
      <c r="A22" s="2">
        <v>45812</v>
      </c>
      <c r="B22">
        <f t="shared" si="1"/>
        <v>4</v>
      </c>
      <c r="C22" t="s">
        <v>20</v>
      </c>
      <c r="D22" t="s">
        <v>33</v>
      </c>
      <c r="E22" t="s">
        <v>54</v>
      </c>
      <c r="F22" t="s">
        <v>31</v>
      </c>
      <c r="G22">
        <v>7</v>
      </c>
      <c r="H22">
        <v>758</v>
      </c>
      <c r="I22" t="s">
        <v>161</v>
      </c>
      <c r="J22" t="s">
        <v>25</v>
      </c>
      <c r="K22">
        <v>450</v>
      </c>
      <c r="L22" s="7">
        <f t="shared" si="0"/>
        <v>5306</v>
      </c>
      <c r="M22" s="7">
        <f>dataset!$L22-T22</f>
        <v>2156</v>
      </c>
      <c r="N22" s="7">
        <f>dataset!$M22/dataset!$L22*100</f>
        <v>40.633245382585756</v>
      </c>
      <c r="O22" s="25">
        <f>dataset!$K22*dataset!$G22</f>
        <v>3150</v>
      </c>
      <c r="P22"/>
      <c r="T22">
        <f>dataset!$K22*dataset!$G22</f>
        <v>3150</v>
      </c>
    </row>
    <row r="23" spans="1:20" x14ac:dyDescent="0.35">
      <c r="A23" s="2">
        <v>45827</v>
      </c>
      <c r="B23">
        <f t="shared" si="1"/>
        <v>19</v>
      </c>
      <c r="C23" t="s">
        <v>35</v>
      </c>
      <c r="D23" t="s">
        <v>46</v>
      </c>
      <c r="E23" t="s">
        <v>22</v>
      </c>
      <c r="F23" t="s">
        <v>13</v>
      </c>
      <c r="G23">
        <v>26</v>
      </c>
      <c r="H23">
        <v>589</v>
      </c>
      <c r="I23" t="s">
        <v>162</v>
      </c>
      <c r="J23" t="s">
        <v>15</v>
      </c>
      <c r="K23">
        <v>450</v>
      </c>
      <c r="L23" s="7">
        <f t="shared" si="0"/>
        <v>15314</v>
      </c>
      <c r="M23" s="7">
        <f>dataset!$L23-T23</f>
        <v>3614</v>
      </c>
      <c r="N23" s="7">
        <f>dataset!$M23/dataset!$L23*100</f>
        <v>23.599320882852293</v>
      </c>
      <c r="O23" s="25">
        <f>dataset!$K23*dataset!$G23</f>
        <v>11700</v>
      </c>
      <c r="P23"/>
      <c r="T23">
        <f>dataset!$K23*dataset!$G23</f>
        <v>11700</v>
      </c>
    </row>
    <row r="24" spans="1:20" x14ac:dyDescent="0.35">
      <c r="A24" s="2">
        <v>45768</v>
      </c>
      <c r="B24">
        <f t="shared" si="1"/>
        <v>21</v>
      </c>
      <c r="C24" t="s">
        <v>29</v>
      </c>
      <c r="D24" t="s">
        <v>11</v>
      </c>
      <c r="E24" t="s">
        <v>42</v>
      </c>
      <c r="F24" t="s">
        <v>18</v>
      </c>
      <c r="G24">
        <v>36</v>
      </c>
      <c r="H24">
        <v>1892</v>
      </c>
      <c r="I24" t="s">
        <v>163</v>
      </c>
      <c r="J24" t="s">
        <v>15</v>
      </c>
      <c r="K24">
        <v>1400</v>
      </c>
      <c r="L24" s="7">
        <f t="shared" si="0"/>
        <v>68112</v>
      </c>
      <c r="M24" s="7">
        <f>dataset!$L24-T24</f>
        <v>17712</v>
      </c>
      <c r="N24" s="7">
        <f>dataset!$M24/dataset!$L24*100</f>
        <v>26.004228329809724</v>
      </c>
      <c r="O24" s="25">
        <f>dataset!$K24*dataset!$G24</f>
        <v>50400</v>
      </c>
      <c r="P24"/>
      <c r="T24">
        <f>dataset!$K24*dataset!$G24</f>
        <v>50400</v>
      </c>
    </row>
    <row r="25" spans="1:20" x14ac:dyDescent="0.35">
      <c r="A25" s="2">
        <v>45778</v>
      </c>
      <c r="B25">
        <f t="shared" si="1"/>
        <v>1</v>
      </c>
      <c r="C25" t="s">
        <v>10</v>
      </c>
      <c r="D25" t="s">
        <v>46</v>
      </c>
      <c r="E25" t="s">
        <v>17</v>
      </c>
      <c r="F25" t="s">
        <v>47</v>
      </c>
      <c r="G25">
        <v>41</v>
      </c>
      <c r="H25">
        <v>1434</v>
      </c>
      <c r="I25" t="s">
        <v>48</v>
      </c>
      <c r="J25" t="s">
        <v>25</v>
      </c>
      <c r="K25">
        <v>1200</v>
      </c>
      <c r="L25" s="7">
        <f t="shared" si="0"/>
        <v>58794</v>
      </c>
      <c r="M25" s="7">
        <f>dataset!$L25-T25</f>
        <v>9594</v>
      </c>
      <c r="N25" s="7">
        <f>dataset!$M25/dataset!$L25*100</f>
        <v>16.317991631799163</v>
      </c>
      <c r="O25" s="25">
        <f>dataset!$K25*dataset!$G25</f>
        <v>49200</v>
      </c>
      <c r="P25"/>
      <c r="T25">
        <f>dataset!$K25*dataset!$G25</f>
        <v>49200</v>
      </c>
    </row>
    <row r="26" spans="1:20" x14ac:dyDescent="0.35">
      <c r="A26" s="2">
        <v>45778</v>
      </c>
      <c r="B26">
        <f t="shared" si="1"/>
        <v>1</v>
      </c>
      <c r="C26" t="s">
        <v>29</v>
      </c>
      <c r="D26" t="s">
        <v>46</v>
      </c>
      <c r="E26" t="s">
        <v>64</v>
      </c>
      <c r="F26" t="s">
        <v>31</v>
      </c>
      <c r="G26">
        <v>16</v>
      </c>
      <c r="H26">
        <v>2075</v>
      </c>
      <c r="I26" t="s">
        <v>164</v>
      </c>
      <c r="J26" t="s">
        <v>25</v>
      </c>
      <c r="K26">
        <v>1800</v>
      </c>
      <c r="L26" s="7">
        <f t="shared" si="0"/>
        <v>33200</v>
      </c>
      <c r="M26" s="7">
        <f>dataset!$L26-T26</f>
        <v>4400</v>
      </c>
      <c r="N26" s="7">
        <f>dataset!$M26/dataset!$L26*100</f>
        <v>13.253012048192772</v>
      </c>
      <c r="O26" s="25">
        <f>dataset!$K26*dataset!$G26</f>
        <v>28800</v>
      </c>
      <c r="P26"/>
      <c r="T26">
        <f>dataset!$K26*dataset!$G26</f>
        <v>28800</v>
      </c>
    </row>
    <row r="27" spans="1:20" x14ac:dyDescent="0.35">
      <c r="A27" s="2">
        <v>45831</v>
      </c>
      <c r="B27">
        <f t="shared" si="1"/>
        <v>23</v>
      </c>
      <c r="C27" t="s">
        <v>29</v>
      </c>
      <c r="D27" t="s">
        <v>16</v>
      </c>
      <c r="E27" t="s">
        <v>75</v>
      </c>
      <c r="F27" t="s">
        <v>23</v>
      </c>
      <c r="G27">
        <v>38</v>
      </c>
      <c r="H27">
        <v>901</v>
      </c>
      <c r="I27" t="s">
        <v>165</v>
      </c>
      <c r="J27" t="s">
        <v>15</v>
      </c>
      <c r="K27">
        <v>750</v>
      </c>
      <c r="L27" s="7">
        <f t="shared" si="0"/>
        <v>34238</v>
      </c>
      <c r="M27" s="7">
        <f>dataset!$L27-T27</f>
        <v>5738</v>
      </c>
      <c r="N27" s="7">
        <f>dataset!$M27/dataset!$L27*100</f>
        <v>16.759156492785792</v>
      </c>
      <c r="O27" s="25">
        <f>dataset!$K27*dataset!$G27</f>
        <v>28500</v>
      </c>
      <c r="P27"/>
      <c r="T27">
        <f>dataset!$K27*dataset!$G27</f>
        <v>28500</v>
      </c>
    </row>
    <row r="28" spans="1:20" x14ac:dyDescent="0.35">
      <c r="A28" s="2">
        <v>45803</v>
      </c>
      <c r="B28">
        <f t="shared" si="1"/>
        <v>26</v>
      </c>
      <c r="C28" t="s">
        <v>29</v>
      </c>
      <c r="D28" t="s">
        <v>11</v>
      </c>
      <c r="E28" t="s">
        <v>64</v>
      </c>
      <c r="F28" t="s">
        <v>37</v>
      </c>
      <c r="G28">
        <v>18</v>
      </c>
      <c r="H28">
        <v>1462</v>
      </c>
      <c r="I28" t="s">
        <v>166</v>
      </c>
      <c r="J28" t="s">
        <v>15</v>
      </c>
      <c r="K28">
        <v>1300</v>
      </c>
      <c r="L28" s="7">
        <f t="shared" si="0"/>
        <v>26316</v>
      </c>
      <c r="M28" s="7">
        <f>dataset!$L28-T28</f>
        <v>2916</v>
      </c>
      <c r="N28" s="7">
        <f>dataset!$M28/dataset!$L28*100</f>
        <v>11.080711354309166</v>
      </c>
      <c r="O28" s="25">
        <f>dataset!$K28*dataset!$G28</f>
        <v>23400</v>
      </c>
      <c r="P28"/>
      <c r="T28">
        <f>dataset!$K28*dataset!$G28</f>
        <v>23400</v>
      </c>
    </row>
    <row r="29" spans="1:20" x14ac:dyDescent="0.35">
      <c r="A29" s="2">
        <v>45830</v>
      </c>
      <c r="B29">
        <f t="shared" si="1"/>
        <v>22</v>
      </c>
      <c r="C29" t="s">
        <v>10</v>
      </c>
      <c r="D29" t="s">
        <v>27</v>
      </c>
      <c r="E29" t="s">
        <v>64</v>
      </c>
      <c r="F29" t="s">
        <v>56</v>
      </c>
      <c r="G29">
        <v>23</v>
      </c>
      <c r="H29">
        <v>1343</v>
      </c>
      <c r="I29" t="s">
        <v>167</v>
      </c>
      <c r="J29" t="s">
        <v>15</v>
      </c>
      <c r="K29">
        <v>1150</v>
      </c>
      <c r="L29" s="7">
        <f t="shared" si="0"/>
        <v>30889</v>
      </c>
      <c r="M29" s="7">
        <f>dataset!$L29-T29</f>
        <v>4439</v>
      </c>
      <c r="N29" s="7">
        <f>dataset!$M29/dataset!$L29*100</f>
        <v>14.370811615785556</v>
      </c>
      <c r="O29" s="25">
        <f>dataset!$K29*dataset!$G29</f>
        <v>26450</v>
      </c>
      <c r="P29"/>
      <c r="T29">
        <f>dataset!$K29*dataset!$G29</f>
        <v>26450</v>
      </c>
    </row>
    <row r="30" spans="1:20" x14ac:dyDescent="0.35">
      <c r="A30" s="2">
        <v>45815</v>
      </c>
      <c r="B30">
        <f t="shared" si="1"/>
        <v>7</v>
      </c>
      <c r="C30" t="s">
        <v>26</v>
      </c>
      <c r="D30" t="s">
        <v>33</v>
      </c>
      <c r="E30" t="s">
        <v>75</v>
      </c>
      <c r="F30" t="s">
        <v>52</v>
      </c>
      <c r="G30">
        <v>37</v>
      </c>
      <c r="H30">
        <v>752</v>
      </c>
      <c r="I30" t="s">
        <v>168</v>
      </c>
      <c r="J30" t="s">
        <v>25</v>
      </c>
      <c r="K30">
        <v>450</v>
      </c>
      <c r="L30" s="7">
        <f t="shared" si="0"/>
        <v>27824</v>
      </c>
      <c r="M30" s="7">
        <f>dataset!$L30-T30</f>
        <v>11174</v>
      </c>
      <c r="N30" s="7">
        <f>dataset!$M30/dataset!$L30*100</f>
        <v>40.159574468085104</v>
      </c>
      <c r="O30" s="25">
        <f>dataset!$K30*dataset!$G30</f>
        <v>16650</v>
      </c>
      <c r="P30"/>
      <c r="T30">
        <f>dataset!$K30*dataset!$G30</f>
        <v>16650</v>
      </c>
    </row>
    <row r="31" spans="1:20" x14ac:dyDescent="0.35">
      <c r="A31" s="2">
        <v>45793</v>
      </c>
      <c r="B31">
        <f t="shared" si="1"/>
        <v>16</v>
      </c>
      <c r="C31" t="s">
        <v>20</v>
      </c>
      <c r="D31" t="s">
        <v>21</v>
      </c>
      <c r="E31" t="s">
        <v>22</v>
      </c>
      <c r="F31" t="s">
        <v>47</v>
      </c>
      <c r="G31">
        <v>42</v>
      </c>
      <c r="H31">
        <v>308</v>
      </c>
      <c r="I31" t="s">
        <v>169</v>
      </c>
      <c r="J31" t="s">
        <v>25</v>
      </c>
      <c r="K31">
        <v>200</v>
      </c>
      <c r="L31" s="7">
        <f t="shared" si="0"/>
        <v>12936</v>
      </c>
      <c r="M31" s="7">
        <f>dataset!$L31-T31</f>
        <v>4536</v>
      </c>
      <c r="N31" s="7">
        <f>dataset!$M31/dataset!$L31*100</f>
        <v>35.064935064935064</v>
      </c>
      <c r="O31" s="25">
        <f>dataset!$K31*dataset!$G31</f>
        <v>8400</v>
      </c>
      <c r="P31"/>
      <c r="T31">
        <f>dataset!$K31*dataset!$G31</f>
        <v>8400</v>
      </c>
    </row>
    <row r="32" spans="1:20" x14ac:dyDescent="0.35">
      <c r="A32" s="2">
        <v>45766</v>
      </c>
      <c r="B32">
        <f t="shared" si="1"/>
        <v>19</v>
      </c>
      <c r="C32" t="s">
        <v>10</v>
      </c>
      <c r="D32" t="s">
        <v>36</v>
      </c>
      <c r="E32" t="s">
        <v>22</v>
      </c>
      <c r="F32" t="s">
        <v>56</v>
      </c>
      <c r="G32">
        <v>49</v>
      </c>
      <c r="H32">
        <v>2052</v>
      </c>
      <c r="I32" t="s">
        <v>170</v>
      </c>
      <c r="J32" t="s">
        <v>15</v>
      </c>
      <c r="K32">
        <v>1400</v>
      </c>
      <c r="L32" s="7">
        <f t="shared" si="0"/>
        <v>100548</v>
      </c>
      <c r="M32" s="7">
        <f>dataset!$L32-T32</f>
        <v>31948</v>
      </c>
      <c r="N32" s="7">
        <f>dataset!$M32/dataset!$L32*100</f>
        <v>31.773879142300192</v>
      </c>
      <c r="O32" s="25">
        <f>dataset!$K32*dataset!$G32</f>
        <v>68600</v>
      </c>
      <c r="P32"/>
      <c r="T32">
        <f>dataset!$K32*dataset!$G32</f>
        <v>68600</v>
      </c>
    </row>
    <row r="33" spans="1:20" x14ac:dyDescent="0.35">
      <c r="A33" s="2">
        <v>45831</v>
      </c>
      <c r="B33">
        <f t="shared" si="1"/>
        <v>23</v>
      </c>
      <c r="C33" t="s">
        <v>10</v>
      </c>
      <c r="D33" t="s">
        <v>66</v>
      </c>
      <c r="E33" t="s">
        <v>39</v>
      </c>
      <c r="F33" t="s">
        <v>40</v>
      </c>
      <c r="G33">
        <v>49</v>
      </c>
      <c r="H33">
        <v>2386</v>
      </c>
      <c r="I33" t="s">
        <v>171</v>
      </c>
      <c r="J33" t="s">
        <v>15</v>
      </c>
      <c r="K33">
        <v>1300</v>
      </c>
      <c r="L33" s="7">
        <f t="shared" si="0"/>
        <v>116914</v>
      </c>
      <c r="M33" s="7">
        <f>dataset!$L33-T33</f>
        <v>53214</v>
      </c>
      <c r="N33" s="7">
        <f>dataset!$M33/dataset!$L33*100</f>
        <v>45.515507124895223</v>
      </c>
      <c r="O33" s="25">
        <f>dataset!$K33*dataset!$G33</f>
        <v>63700</v>
      </c>
      <c r="P33"/>
      <c r="T33">
        <f>dataset!$K33*dataset!$G33</f>
        <v>63700</v>
      </c>
    </row>
    <row r="34" spans="1:20" x14ac:dyDescent="0.35">
      <c r="A34" s="2">
        <v>45813</v>
      </c>
      <c r="B34">
        <f t="shared" si="1"/>
        <v>5</v>
      </c>
      <c r="C34" t="s">
        <v>10</v>
      </c>
      <c r="D34" t="s">
        <v>27</v>
      </c>
      <c r="E34" t="s">
        <v>54</v>
      </c>
      <c r="F34" t="s">
        <v>31</v>
      </c>
      <c r="G34">
        <v>36</v>
      </c>
      <c r="H34">
        <v>407</v>
      </c>
      <c r="I34" t="s">
        <v>172</v>
      </c>
      <c r="J34" t="s">
        <v>15</v>
      </c>
      <c r="K34">
        <v>250</v>
      </c>
      <c r="L34" s="7">
        <f t="shared" si="0"/>
        <v>14652</v>
      </c>
      <c r="M34" s="7">
        <f>dataset!$L34-T34</f>
        <v>5652</v>
      </c>
      <c r="N34" s="7">
        <f>dataset!$M34/dataset!$L34*100</f>
        <v>38.574938574938578</v>
      </c>
      <c r="O34" s="25">
        <f>dataset!$K34*dataset!$G34</f>
        <v>9000</v>
      </c>
      <c r="P34"/>
      <c r="T34">
        <f>dataset!$K34*dataset!$G34</f>
        <v>9000</v>
      </c>
    </row>
    <row r="35" spans="1:20" x14ac:dyDescent="0.35">
      <c r="A35" s="2">
        <v>45814</v>
      </c>
      <c r="B35">
        <f t="shared" si="1"/>
        <v>6</v>
      </c>
      <c r="C35" t="s">
        <v>26</v>
      </c>
      <c r="D35" t="s">
        <v>11</v>
      </c>
      <c r="E35" t="s">
        <v>17</v>
      </c>
      <c r="F35" t="s">
        <v>40</v>
      </c>
      <c r="G35">
        <v>7</v>
      </c>
      <c r="H35">
        <v>751</v>
      </c>
      <c r="I35" t="s">
        <v>173</v>
      </c>
      <c r="J35" t="s">
        <v>15</v>
      </c>
      <c r="K35">
        <v>550</v>
      </c>
      <c r="L35" s="7">
        <f t="shared" si="0"/>
        <v>5257</v>
      </c>
      <c r="M35" s="7">
        <f>dataset!$L35-T35</f>
        <v>1407</v>
      </c>
      <c r="N35" s="7">
        <f>dataset!$M35/dataset!$L35*100</f>
        <v>26.764314247669773</v>
      </c>
      <c r="O35" s="25">
        <f>dataset!$K35*dataset!$G35</f>
        <v>3850</v>
      </c>
      <c r="P35"/>
      <c r="T35">
        <f>dataset!$K35*dataset!$G35</f>
        <v>3850</v>
      </c>
    </row>
    <row r="36" spans="1:20" x14ac:dyDescent="0.35">
      <c r="A36" s="2">
        <v>45800</v>
      </c>
      <c r="B36">
        <f t="shared" si="1"/>
        <v>23</v>
      </c>
      <c r="C36" t="s">
        <v>10</v>
      </c>
      <c r="D36" t="s">
        <v>36</v>
      </c>
      <c r="E36" t="s">
        <v>17</v>
      </c>
      <c r="F36" t="s">
        <v>31</v>
      </c>
      <c r="G36">
        <v>17</v>
      </c>
      <c r="H36">
        <v>642</v>
      </c>
      <c r="I36" t="s">
        <v>49</v>
      </c>
      <c r="J36" t="s">
        <v>25</v>
      </c>
      <c r="K36">
        <v>450</v>
      </c>
      <c r="L36" s="7">
        <f t="shared" si="0"/>
        <v>10914</v>
      </c>
      <c r="M36" s="7">
        <f>dataset!$L36-T36</f>
        <v>3264</v>
      </c>
      <c r="N36" s="7">
        <f>dataset!$M36/dataset!$L36*100</f>
        <v>29.906542056074763</v>
      </c>
      <c r="O36" s="25">
        <f>dataset!$K36*dataset!$G36</f>
        <v>7650</v>
      </c>
      <c r="P36"/>
      <c r="T36">
        <f>dataset!$K36*dataset!$G36</f>
        <v>7650</v>
      </c>
    </row>
    <row r="37" spans="1:20" x14ac:dyDescent="0.35">
      <c r="A37" s="2">
        <v>45828</v>
      </c>
      <c r="B37">
        <f t="shared" si="1"/>
        <v>20</v>
      </c>
      <c r="C37" t="s">
        <v>26</v>
      </c>
      <c r="D37" t="s">
        <v>27</v>
      </c>
      <c r="E37" t="s">
        <v>17</v>
      </c>
      <c r="F37" t="s">
        <v>23</v>
      </c>
      <c r="G37">
        <v>39</v>
      </c>
      <c r="H37">
        <v>2571</v>
      </c>
      <c r="I37" t="s">
        <v>174</v>
      </c>
      <c r="J37" t="s">
        <v>25</v>
      </c>
      <c r="K37">
        <v>1950</v>
      </c>
      <c r="L37" s="7">
        <f t="shared" si="0"/>
        <v>100269</v>
      </c>
      <c r="M37" s="7">
        <f>dataset!$L37-T37</f>
        <v>24219</v>
      </c>
      <c r="N37" s="7">
        <f>dataset!$M37/dataset!$L37*100</f>
        <v>24.154025670945156</v>
      </c>
      <c r="O37" s="25">
        <f>dataset!$K37*dataset!$G37</f>
        <v>76050</v>
      </c>
      <c r="P37"/>
      <c r="T37">
        <f>dataset!$K37*dataset!$G37</f>
        <v>76050</v>
      </c>
    </row>
    <row r="38" spans="1:20" x14ac:dyDescent="0.35">
      <c r="A38" s="2">
        <v>45770</v>
      </c>
      <c r="B38">
        <f t="shared" si="1"/>
        <v>23</v>
      </c>
      <c r="C38" t="s">
        <v>35</v>
      </c>
      <c r="D38" t="s">
        <v>16</v>
      </c>
      <c r="E38" t="s">
        <v>17</v>
      </c>
      <c r="F38" t="s">
        <v>23</v>
      </c>
      <c r="G38">
        <v>17</v>
      </c>
      <c r="H38">
        <v>1952</v>
      </c>
      <c r="I38" t="s">
        <v>175</v>
      </c>
      <c r="J38" t="s">
        <v>15</v>
      </c>
      <c r="K38">
        <v>1350</v>
      </c>
      <c r="L38" s="7">
        <f t="shared" si="0"/>
        <v>33184</v>
      </c>
      <c r="M38" s="7">
        <f>dataset!$L38-T38</f>
        <v>10234</v>
      </c>
      <c r="N38" s="7">
        <f>dataset!$M38/dataset!$L38*100</f>
        <v>30.840163934426229</v>
      </c>
      <c r="O38" s="25">
        <f>dataset!$K38*dataset!$G38</f>
        <v>22950</v>
      </c>
      <c r="P38"/>
      <c r="T38">
        <f>dataset!$K38*dataset!$G38</f>
        <v>22950</v>
      </c>
    </row>
    <row r="39" spans="1:20" x14ac:dyDescent="0.35">
      <c r="A39" s="2">
        <v>45793</v>
      </c>
      <c r="B39">
        <f t="shared" si="1"/>
        <v>16</v>
      </c>
      <c r="C39" t="s">
        <v>35</v>
      </c>
      <c r="D39" t="s">
        <v>16</v>
      </c>
      <c r="E39" t="s">
        <v>30</v>
      </c>
      <c r="F39" t="s">
        <v>18</v>
      </c>
      <c r="G39">
        <v>39</v>
      </c>
      <c r="H39">
        <v>802</v>
      </c>
      <c r="I39" t="s">
        <v>176</v>
      </c>
      <c r="J39" t="s">
        <v>25</v>
      </c>
      <c r="K39">
        <v>600</v>
      </c>
      <c r="L39" s="7">
        <f t="shared" si="0"/>
        <v>31278</v>
      </c>
      <c r="M39" s="7">
        <f>dataset!$L39-T39</f>
        <v>7878</v>
      </c>
      <c r="N39" s="7">
        <f>dataset!$M39/dataset!$L39*100</f>
        <v>25.187032418952622</v>
      </c>
      <c r="O39" s="25">
        <f>dataset!$K39*dataset!$G39</f>
        <v>23400</v>
      </c>
      <c r="P39"/>
      <c r="T39">
        <f>dataset!$K39*dataset!$G39</f>
        <v>23400</v>
      </c>
    </row>
    <row r="40" spans="1:20" x14ac:dyDescent="0.35">
      <c r="A40" s="2">
        <v>45765</v>
      </c>
      <c r="B40">
        <f t="shared" si="1"/>
        <v>18</v>
      </c>
      <c r="C40" t="s">
        <v>29</v>
      </c>
      <c r="D40" t="s">
        <v>16</v>
      </c>
      <c r="E40" t="s">
        <v>54</v>
      </c>
      <c r="F40" t="s">
        <v>47</v>
      </c>
      <c r="G40">
        <v>27</v>
      </c>
      <c r="H40">
        <v>2186</v>
      </c>
      <c r="I40" t="s">
        <v>177</v>
      </c>
      <c r="J40" t="s">
        <v>25</v>
      </c>
      <c r="K40">
        <v>1850</v>
      </c>
      <c r="L40" s="7">
        <f t="shared" si="0"/>
        <v>59022</v>
      </c>
      <c r="M40" s="7">
        <f>dataset!$L40-T40</f>
        <v>9072</v>
      </c>
      <c r="N40" s="7">
        <f>dataset!$M40/dataset!$L40*100</f>
        <v>15.370539798719122</v>
      </c>
      <c r="O40" s="25">
        <f>dataset!$K40*dataset!$G40</f>
        <v>49950</v>
      </c>
      <c r="P40"/>
      <c r="T40">
        <f>dataset!$K40*dataset!$G40</f>
        <v>49950</v>
      </c>
    </row>
    <row r="41" spans="1:20" x14ac:dyDescent="0.35">
      <c r="A41" s="2">
        <v>45778</v>
      </c>
      <c r="B41">
        <f t="shared" si="1"/>
        <v>1</v>
      </c>
      <c r="C41" t="s">
        <v>26</v>
      </c>
      <c r="D41" t="s">
        <v>11</v>
      </c>
      <c r="E41" t="s">
        <v>22</v>
      </c>
      <c r="F41" t="s">
        <v>52</v>
      </c>
      <c r="G41">
        <v>27</v>
      </c>
      <c r="H41">
        <v>2129</v>
      </c>
      <c r="I41" t="s">
        <v>178</v>
      </c>
      <c r="J41" t="s">
        <v>15</v>
      </c>
      <c r="K41">
        <v>1500</v>
      </c>
      <c r="L41" s="7">
        <f t="shared" si="0"/>
        <v>57483</v>
      </c>
      <c r="M41" s="7">
        <f>dataset!$L41-T41</f>
        <v>16983</v>
      </c>
      <c r="N41" s="7">
        <f>dataset!$M41/dataset!$L41*100</f>
        <v>29.544387036167212</v>
      </c>
      <c r="O41" s="25">
        <f>dataset!$K41*dataset!$G41</f>
        <v>40500</v>
      </c>
      <c r="P41"/>
      <c r="T41">
        <f>dataset!$K41*dataset!$G41</f>
        <v>40500</v>
      </c>
    </row>
    <row r="42" spans="1:20" x14ac:dyDescent="0.35">
      <c r="A42" s="2">
        <v>45803</v>
      </c>
      <c r="B42">
        <f t="shared" si="1"/>
        <v>26</v>
      </c>
      <c r="C42" t="s">
        <v>35</v>
      </c>
      <c r="D42" t="s">
        <v>27</v>
      </c>
      <c r="E42" t="s">
        <v>22</v>
      </c>
      <c r="F42" t="s">
        <v>40</v>
      </c>
      <c r="G42">
        <v>44</v>
      </c>
      <c r="H42">
        <v>2753</v>
      </c>
      <c r="I42" t="s">
        <v>179</v>
      </c>
      <c r="J42" t="s">
        <v>25</v>
      </c>
      <c r="K42">
        <v>2450</v>
      </c>
      <c r="L42" s="7">
        <f t="shared" si="0"/>
        <v>121132</v>
      </c>
      <c r="M42" s="7">
        <f>dataset!$L42-T42</f>
        <v>13332</v>
      </c>
      <c r="N42" s="7">
        <f>dataset!$M42/dataset!$L42*100</f>
        <v>11.006175081729024</v>
      </c>
      <c r="O42" s="25">
        <f>dataset!$K42*dataset!$G42</f>
        <v>107800</v>
      </c>
      <c r="P42"/>
      <c r="T42">
        <f>dataset!$K42*dataset!$G42</f>
        <v>107800</v>
      </c>
    </row>
    <row r="43" spans="1:20" x14ac:dyDescent="0.35">
      <c r="A43" s="2">
        <v>45800</v>
      </c>
      <c r="B43">
        <f t="shared" si="1"/>
        <v>23</v>
      </c>
      <c r="C43" t="s">
        <v>29</v>
      </c>
      <c r="D43" t="s">
        <v>33</v>
      </c>
      <c r="E43" t="s">
        <v>67</v>
      </c>
      <c r="F43" t="s">
        <v>23</v>
      </c>
      <c r="G43">
        <v>25</v>
      </c>
      <c r="H43">
        <v>2133</v>
      </c>
      <c r="I43" t="s">
        <v>180</v>
      </c>
      <c r="J43" t="s">
        <v>25</v>
      </c>
      <c r="K43">
        <v>1650</v>
      </c>
      <c r="L43" s="7">
        <f t="shared" si="0"/>
        <v>53325</v>
      </c>
      <c r="M43" s="7">
        <f>dataset!$L43-T43</f>
        <v>12075</v>
      </c>
      <c r="N43" s="7">
        <f>dataset!$M43/dataset!$L43*100</f>
        <v>22.644163150492265</v>
      </c>
      <c r="O43" s="25">
        <f>dataset!$K43*dataset!$G43</f>
        <v>41250</v>
      </c>
      <c r="P43"/>
      <c r="T43">
        <f>dataset!$K43*dataset!$G43</f>
        <v>41250</v>
      </c>
    </row>
    <row r="44" spans="1:20" x14ac:dyDescent="0.35">
      <c r="A44" s="2">
        <v>45801</v>
      </c>
      <c r="B44">
        <f t="shared" si="1"/>
        <v>24</v>
      </c>
      <c r="C44" t="s">
        <v>35</v>
      </c>
      <c r="D44" t="s">
        <v>27</v>
      </c>
      <c r="E44" t="s">
        <v>17</v>
      </c>
      <c r="F44" t="s">
        <v>13</v>
      </c>
      <c r="G44">
        <v>30</v>
      </c>
      <c r="H44">
        <v>942</v>
      </c>
      <c r="I44" t="s">
        <v>181</v>
      </c>
      <c r="J44" t="s">
        <v>25</v>
      </c>
      <c r="K44">
        <v>500</v>
      </c>
      <c r="L44" s="7">
        <f t="shared" si="0"/>
        <v>28260</v>
      </c>
      <c r="M44" s="7">
        <f>dataset!$L44-T44</f>
        <v>13260</v>
      </c>
      <c r="N44" s="7">
        <f>dataset!$M44/dataset!$L44*100</f>
        <v>46.92144373673036</v>
      </c>
      <c r="O44" s="25">
        <f>dataset!$K44*dataset!$G44</f>
        <v>15000</v>
      </c>
      <c r="P44"/>
      <c r="T44">
        <f>dataset!$K44*dataset!$G44</f>
        <v>15000</v>
      </c>
    </row>
    <row r="45" spans="1:20" x14ac:dyDescent="0.35">
      <c r="A45" s="2">
        <v>45822</v>
      </c>
      <c r="B45">
        <f t="shared" si="1"/>
        <v>14</v>
      </c>
      <c r="C45" t="s">
        <v>29</v>
      </c>
      <c r="D45" t="s">
        <v>66</v>
      </c>
      <c r="E45" t="s">
        <v>54</v>
      </c>
      <c r="F45" t="s">
        <v>56</v>
      </c>
      <c r="G45">
        <v>23</v>
      </c>
      <c r="H45">
        <v>2744</v>
      </c>
      <c r="I45" t="s">
        <v>182</v>
      </c>
      <c r="J45" t="s">
        <v>15</v>
      </c>
      <c r="K45">
        <v>1600</v>
      </c>
      <c r="L45" s="7">
        <f t="shared" si="0"/>
        <v>63112</v>
      </c>
      <c r="M45" s="7">
        <f>dataset!$L45-T45</f>
        <v>26312</v>
      </c>
      <c r="N45" s="7">
        <f>dataset!$M45/dataset!$L45*100</f>
        <v>41.690962099125365</v>
      </c>
      <c r="O45" s="25">
        <f>dataset!$K45*dataset!$G45</f>
        <v>36800</v>
      </c>
      <c r="P45"/>
      <c r="T45">
        <f>dataset!$K45*dataset!$G45</f>
        <v>36800</v>
      </c>
    </row>
    <row r="46" spans="1:20" x14ac:dyDescent="0.35">
      <c r="A46" s="2">
        <v>45786</v>
      </c>
      <c r="B46">
        <f t="shared" si="1"/>
        <v>9</v>
      </c>
      <c r="C46" t="s">
        <v>26</v>
      </c>
      <c r="D46" t="s">
        <v>33</v>
      </c>
      <c r="E46" t="s">
        <v>30</v>
      </c>
      <c r="F46" t="s">
        <v>31</v>
      </c>
      <c r="G46">
        <v>47</v>
      </c>
      <c r="H46">
        <v>376</v>
      </c>
      <c r="I46" t="s">
        <v>183</v>
      </c>
      <c r="J46" t="s">
        <v>15</v>
      </c>
      <c r="K46">
        <v>300</v>
      </c>
      <c r="L46" s="7">
        <f t="shared" si="0"/>
        <v>17672</v>
      </c>
      <c r="M46" s="7">
        <f>dataset!$L46-T46</f>
        <v>3572</v>
      </c>
      <c r="N46" s="7">
        <f>dataset!$M46/dataset!$L46*100</f>
        <v>20.212765957446805</v>
      </c>
      <c r="O46" s="25">
        <f>dataset!$K46*dataset!$G46</f>
        <v>14100</v>
      </c>
      <c r="P46"/>
      <c r="T46">
        <f>dataset!$K46*dataset!$G46</f>
        <v>14100</v>
      </c>
    </row>
    <row r="47" spans="1:20" x14ac:dyDescent="0.35">
      <c r="A47" s="2">
        <v>45815</v>
      </c>
      <c r="B47">
        <f t="shared" si="1"/>
        <v>7</v>
      </c>
      <c r="C47" t="s">
        <v>10</v>
      </c>
      <c r="D47" t="s">
        <v>11</v>
      </c>
      <c r="E47" t="s">
        <v>42</v>
      </c>
      <c r="F47" t="s">
        <v>40</v>
      </c>
      <c r="G47">
        <v>48</v>
      </c>
      <c r="H47">
        <v>1536</v>
      </c>
      <c r="I47" t="s">
        <v>50</v>
      </c>
      <c r="J47" t="s">
        <v>25</v>
      </c>
      <c r="K47">
        <v>950</v>
      </c>
      <c r="L47" s="7">
        <f t="shared" si="0"/>
        <v>73728</v>
      </c>
      <c r="M47" s="7">
        <f>dataset!$L47-T47</f>
        <v>28128</v>
      </c>
      <c r="N47" s="7">
        <f>dataset!$M47/dataset!$L47*100</f>
        <v>38.151041666666671</v>
      </c>
      <c r="O47" s="25">
        <f>dataset!$K47*dataset!$G47</f>
        <v>45600</v>
      </c>
      <c r="P47"/>
      <c r="T47">
        <f>dataset!$K47*dataset!$G47</f>
        <v>45600</v>
      </c>
    </row>
    <row r="48" spans="1:20" x14ac:dyDescent="0.35">
      <c r="A48" s="2">
        <v>45809</v>
      </c>
      <c r="B48">
        <f t="shared" si="1"/>
        <v>1</v>
      </c>
      <c r="C48" t="s">
        <v>10</v>
      </c>
      <c r="D48" t="s">
        <v>36</v>
      </c>
      <c r="E48" t="s">
        <v>75</v>
      </c>
      <c r="F48" t="s">
        <v>23</v>
      </c>
      <c r="G48">
        <v>43</v>
      </c>
      <c r="H48">
        <v>1512</v>
      </c>
      <c r="I48" t="s">
        <v>184</v>
      </c>
      <c r="J48" t="s">
        <v>25</v>
      </c>
      <c r="K48">
        <v>1250</v>
      </c>
      <c r="L48" s="7">
        <f t="shared" si="0"/>
        <v>65016</v>
      </c>
      <c r="M48" s="7">
        <f>dataset!$L48-T48</f>
        <v>11266</v>
      </c>
      <c r="N48" s="7">
        <f>dataset!$M48/dataset!$L48*100</f>
        <v>17.328042328042329</v>
      </c>
      <c r="O48" s="25">
        <f>dataset!$K48*dataset!$G48</f>
        <v>53750</v>
      </c>
      <c r="P48"/>
      <c r="T48">
        <f>dataset!$K48*dataset!$G48</f>
        <v>53750</v>
      </c>
    </row>
    <row r="49" spans="1:20" x14ac:dyDescent="0.35">
      <c r="A49" s="2">
        <v>45836</v>
      </c>
      <c r="B49">
        <f t="shared" si="1"/>
        <v>28</v>
      </c>
      <c r="C49" t="s">
        <v>29</v>
      </c>
      <c r="D49" t="s">
        <v>33</v>
      </c>
      <c r="E49" t="s">
        <v>17</v>
      </c>
      <c r="F49" t="s">
        <v>13</v>
      </c>
      <c r="G49">
        <v>12</v>
      </c>
      <c r="H49">
        <v>769</v>
      </c>
      <c r="I49" t="s">
        <v>185</v>
      </c>
      <c r="J49" t="s">
        <v>15</v>
      </c>
      <c r="K49">
        <v>550</v>
      </c>
      <c r="L49" s="7">
        <f t="shared" si="0"/>
        <v>9228</v>
      </c>
      <c r="M49" s="7">
        <f>dataset!$L49-T49</f>
        <v>2628</v>
      </c>
      <c r="N49" s="7">
        <f>dataset!$M49/dataset!$L49*100</f>
        <v>28.478543563068921</v>
      </c>
      <c r="O49" s="25">
        <f>dataset!$K49*dataset!$G49</f>
        <v>6600</v>
      </c>
      <c r="P49"/>
      <c r="T49">
        <f>dataset!$K49*dataset!$G49</f>
        <v>6600</v>
      </c>
    </row>
    <row r="50" spans="1:20" x14ac:dyDescent="0.35">
      <c r="A50" s="2">
        <v>45768</v>
      </c>
      <c r="B50">
        <f t="shared" si="1"/>
        <v>21</v>
      </c>
      <c r="C50" t="s">
        <v>26</v>
      </c>
      <c r="D50" t="s">
        <v>46</v>
      </c>
      <c r="E50" t="s">
        <v>54</v>
      </c>
      <c r="F50" t="s">
        <v>56</v>
      </c>
      <c r="G50">
        <v>37</v>
      </c>
      <c r="H50">
        <v>636</v>
      </c>
      <c r="I50" t="s">
        <v>186</v>
      </c>
      <c r="J50" t="s">
        <v>25</v>
      </c>
      <c r="K50">
        <v>500</v>
      </c>
      <c r="L50" s="7">
        <f t="shared" si="0"/>
        <v>23532</v>
      </c>
      <c r="M50" s="7">
        <f>dataset!$L50-T50</f>
        <v>5032</v>
      </c>
      <c r="N50" s="7">
        <f>dataset!$M50/dataset!$L50*100</f>
        <v>21.383647798742139</v>
      </c>
      <c r="O50" s="25">
        <f>dataset!$K50*dataset!$G50</f>
        <v>18500</v>
      </c>
      <c r="P50"/>
      <c r="T50">
        <f>dataset!$K50*dataset!$G50</f>
        <v>18500</v>
      </c>
    </row>
    <row r="51" spans="1:20" x14ac:dyDescent="0.35">
      <c r="A51" s="2">
        <v>45782</v>
      </c>
      <c r="B51">
        <f t="shared" si="1"/>
        <v>5</v>
      </c>
      <c r="C51" t="s">
        <v>10</v>
      </c>
      <c r="D51" t="s">
        <v>21</v>
      </c>
      <c r="E51" t="s">
        <v>67</v>
      </c>
      <c r="F51" t="s">
        <v>13</v>
      </c>
      <c r="G51">
        <v>50</v>
      </c>
      <c r="H51">
        <v>984</v>
      </c>
      <c r="I51" t="s">
        <v>187</v>
      </c>
      <c r="J51" t="s">
        <v>25</v>
      </c>
      <c r="K51">
        <v>550</v>
      </c>
      <c r="L51" s="7">
        <f t="shared" si="0"/>
        <v>49200</v>
      </c>
      <c r="M51" s="7">
        <f>dataset!$L51-T51</f>
        <v>21700</v>
      </c>
      <c r="N51" s="7">
        <f>dataset!$M51/dataset!$L51*100</f>
        <v>44.105691056910565</v>
      </c>
      <c r="O51" s="25">
        <f>dataset!$K51*dataset!$G51</f>
        <v>27500</v>
      </c>
      <c r="P51"/>
      <c r="T51">
        <f>dataset!$K51*dataset!$G51</f>
        <v>27500</v>
      </c>
    </row>
    <row r="52" spans="1:20" x14ac:dyDescent="0.35">
      <c r="A52" s="2">
        <v>45825</v>
      </c>
      <c r="B52">
        <f t="shared" si="1"/>
        <v>17</v>
      </c>
      <c r="C52" t="s">
        <v>35</v>
      </c>
      <c r="D52" t="s">
        <v>27</v>
      </c>
      <c r="E52" t="s">
        <v>30</v>
      </c>
      <c r="F52" t="s">
        <v>52</v>
      </c>
      <c r="G52">
        <v>7</v>
      </c>
      <c r="H52">
        <v>2454</v>
      </c>
      <c r="I52" t="s">
        <v>188</v>
      </c>
      <c r="J52" t="s">
        <v>15</v>
      </c>
      <c r="K52">
        <v>1550</v>
      </c>
      <c r="L52" s="7">
        <f t="shared" si="0"/>
        <v>17178</v>
      </c>
      <c r="M52" s="7">
        <f>dataset!$L52-T52</f>
        <v>6328</v>
      </c>
      <c r="N52" s="7">
        <f>dataset!$M52/dataset!$L52*100</f>
        <v>36.837815810920944</v>
      </c>
      <c r="O52" s="25">
        <f>dataset!$K52*dataset!$G52</f>
        <v>10850</v>
      </c>
      <c r="P52"/>
      <c r="T52">
        <f>dataset!$K52*dataset!$G52</f>
        <v>10850</v>
      </c>
    </row>
    <row r="53" spans="1:20" x14ac:dyDescent="0.35">
      <c r="A53" s="2">
        <v>45818</v>
      </c>
      <c r="B53">
        <f t="shared" si="1"/>
        <v>10</v>
      </c>
      <c r="C53" t="s">
        <v>29</v>
      </c>
      <c r="D53" t="s">
        <v>36</v>
      </c>
      <c r="E53" t="s">
        <v>30</v>
      </c>
      <c r="F53" t="s">
        <v>23</v>
      </c>
      <c r="G53">
        <v>35</v>
      </c>
      <c r="H53">
        <v>1729</v>
      </c>
      <c r="I53" t="s">
        <v>189</v>
      </c>
      <c r="J53" t="s">
        <v>15</v>
      </c>
      <c r="K53">
        <v>950</v>
      </c>
      <c r="L53" s="7">
        <f t="shared" si="0"/>
        <v>60515</v>
      </c>
      <c r="M53" s="7">
        <f>dataset!$L53-T53</f>
        <v>27265</v>
      </c>
      <c r="N53" s="7">
        <f>dataset!$M53/dataset!$L53*100</f>
        <v>45.054945054945058</v>
      </c>
      <c r="O53" s="25">
        <f>dataset!$K53*dataset!$G53</f>
        <v>33250</v>
      </c>
      <c r="P53"/>
      <c r="T53">
        <f>dataset!$K53*dataset!$G53</f>
        <v>33250</v>
      </c>
    </row>
    <row r="54" spans="1:20" x14ac:dyDescent="0.35">
      <c r="A54" s="2">
        <v>45837</v>
      </c>
      <c r="B54">
        <f t="shared" si="1"/>
        <v>29</v>
      </c>
      <c r="C54" t="s">
        <v>26</v>
      </c>
      <c r="D54" t="s">
        <v>16</v>
      </c>
      <c r="E54" t="s">
        <v>64</v>
      </c>
      <c r="F54" t="s">
        <v>52</v>
      </c>
      <c r="G54">
        <v>11</v>
      </c>
      <c r="H54">
        <v>1022</v>
      </c>
      <c r="I54" t="s">
        <v>190</v>
      </c>
      <c r="J54" t="s">
        <v>25</v>
      </c>
      <c r="K54">
        <v>850</v>
      </c>
      <c r="L54" s="7">
        <f t="shared" si="0"/>
        <v>11242</v>
      </c>
      <c r="M54" s="7">
        <f>dataset!$L54-T54</f>
        <v>1892</v>
      </c>
      <c r="N54" s="7">
        <f>dataset!$M54/dataset!$L54*100</f>
        <v>16.829745596868882</v>
      </c>
      <c r="O54" s="25">
        <f>dataset!$K54*dataset!$G54</f>
        <v>9350</v>
      </c>
      <c r="P54"/>
      <c r="T54">
        <f>dataset!$K54*dataset!$G54</f>
        <v>9350</v>
      </c>
    </row>
    <row r="55" spans="1:20" x14ac:dyDescent="0.35">
      <c r="A55" s="2">
        <v>45762</v>
      </c>
      <c r="B55">
        <f t="shared" si="1"/>
        <v>15</v>
      </c>
      <c r="C55" t="s">
        <v>10</v>
      </c>
      <c r="D55" t="s">
        <v>46</v>
      </c>
      <c r="E55" t="s">
        <v>64</v>
      </c>
      <c r="F55" t="s">
        <v>31</v>
      </c>
      <c r="G55">
        <v>41</v>
      </c>
      <c r="H55">
        <v>2107</v>
      </c>
      <c r="I55" t="s">
        <v>191</v>
      </c>
      <c r="J55" t="s">
        <v>15</v>
      </c>
      <c r="K55">
        <v>1600</v>
      </c>
      <c r="L55" s="7">
        <f t="shared" si="0"/>
        <v>86387</v>
      </c>
      <c r="M55" s="7">
        <f>dataset!$L55-T55</f>
        <v>20787</v>
      </c>
      <c r="N55" s="7">
        <f>dataset!$M55/dataset!$L55*100</f>
        <v>24.062648315140009</v>
      </c>
      <c r="O55" s="25">
        <f>dataset!$K55*dataset!$G55</f>
        <v>65600</v>
      </c>
      <c r="P55"/>
      <c r="T55">
        <f>dataset!$K55*dataset!$G55</f>
        <v>65600</v>
      </c>
    </row>
    <row r="56" spans="1:20" x14ac:dyDescent="0.35">
      <c r="A56" s="2">
        <v>45829</v>
      </c>
      <c r="B56">
        <f t="shared" si="1"/>
        <v>21</v>
      </c>
      <c r="C56" t="s">
        <v>29</v>
      </c>
      <c r="D56" t="s">
        <v>16</v>
      </c>
      <c r="E56" t="s">
        <v>67</v>
      </c>
      <c r="F56" t="s">
        <v>18</v>
      </c>
      <c r="G56">
        <v>22</v>
      </c>
      <c r="H56">
        <v>1958</v>
      </c>
      <c r="I56" t="s">
        <v>192</v>
      </c>
      <c r="J56" t="s">
        <v>15</v>
      </c>
      <c r="K56">
        <v>1650</v>
      </c>
      <c r="L56" s="7">
        <f t="shared" si="0"/>
        <v>43076</v>
      </c>
      <c r="M56" s="7">
        <f>dataset!$L56-T56</f>
        <v>6776</v>
      </c>
      <c r="N56" s="7">
        <f>dataset!$M56/dataset!$L56*100</f>
        <v>15.730337078651685</v>
      </c>
      <c r="O56" s="25">
        <f>dataset!$K56*dataset!$G56</f>
        <v>36300</v>
      </c>
      <c r="P56"/>
      <c r="T56">
        <f>dataset!$K56*dataset!$G56</f>
        <v>36300</v>
      </c>
    </row>
    <row r="57" spans="1:20" x14ac:dyDescent="0.35">
      <c r="A57" s="2">
        <v>45801</v>
      </c>
      <c r="B57">
        <f t="shared" si="1"/>
        <v>24</v>
      </c>
      <c r="C57" t="s">
        <v>26</v>
      </c>
      <c r="D57" t="s">
        <v>27</v>
      </c>
      <c r="E57" t="s">
        <v>42</v>
      </c>
      <c r="F57" t="s">
        <v>23</v>
      </c>
      <c r="G57">
        <v>31</v>
      </c>
      <c r="H57">
        <v>521</v>
      </c>
      <c r="I57" t="s">
        <v>193</v>
      </c>
      <c r="J57" t="s">
        <v>25</v>
      </c>
      <c r="K57">
        <v>250</v>
      </c>
      <c r="L57" s="7">
        <f t="shared" si="0"/>
        <v>16151</v>
      </c>
      <c r="M57" s="7">
        <f>dataset!$L57-T57</f>
        <v>8401</v>
      </c>
      <c r="N57" s="7">
        <f>dataset!$M57/dataset!$L57*100</f>
        <v>52.015355086372359</v>
      </c>
      <c r="O57" s="25">
        <f>dataset!$K57*dataset!$G57</f>
        <v>7750</v>
      </c>
      <c r="P57"/>
      <c r="T57">
        <f>dataset!$K57*dataset!$G57</f>
        <v>7750</v>
      </c>
    </row>
    <row r="58" spans="1:20" x14ac:dyDescent="0.35">
      <c r="A58" s="2">
        <v>45753</v>
      </c>
      <c r="B58">
        <f t="shared" si="1"/>
        <v>6</v>
      </c>
      <c r="C58" t="s">
        <v>10</v>
      </c>
      <c r="D58" t="s">
        <v>36</v>
      </c>
      <c r="E58" t="s">
        <v>30</v>
      </c>
      <c r="F58" t="s">
        <v>40</v>
      </c>
      <c r="G58">
        <v>24</v>
      </c>
      <c r="H58">
        <v>2562</v>
      </c>
      <c r="I58" t="s">
        <v>51</v>
      </c>
      <c r="J58" t="s">
        <v>25</v>
      </c>
      <c r="K58">
        <v>1700</v>
      </c>
      <c r="L58" s="7">
        <f t="shared" si="0"/>
        <v>61488</v>
      </c>
      <c r="M58" s="7">
        <f>dataset!$L58-T58</f>
        <v>20688</v>
      </c>
      <c r="N58" s="7">
        <f>dataset!$M58/dataset!$L58*100</f>
        <v>33.6455893832943</v>
      </c>
      <c r="O58" s="25">
        <f>dataset!$K58*dataset!$G58</f>
        <v>40800</v>
      </c>
      <c r="P58"/>
      <c r="T58">
        <f>dataset!$K58*dataset!$G58</f>
        <v>40800</v>
      </c>
    </row>
    <row r="59" spans="1:20" x14ac:dyDescent="0.35">
      <c r="A59" s="2">
        <v>45796</v>
      </c>
      <c r="B59">
        <f t="shared" si="1"/>
        <v>19</v>
      </c>
      <c r="C59" t="s">
        <v>29</v>
      </c>
      <c r="D59" t="s">
        <v>46</v>
      </c>
      <c r="E59" t="s">
        <v>30</v>
      </c>
      <c r="F59" t="s">
        <v>18</v>
      </c>
      <c r="G59">
        <v>34</v>
      </c>
      <c r="H59">
        <v>340</v>
      </c>
      <c r="I59" t="s">
        <v>194</v>
      </c>
      <c r="J59" t="s">
        <v>15</v>
      </c>
      <c r="K59">
        <v>200</v>
      </c>
      <c r="L59" s="7">
        <f t="shared" si="0"/>
        <v>11560</v>
      </c>
      <c r="M59" s="7">
        <f>dataset!$L59-T59</f>
        <v>4760</v>
      </c>
      <c r="N59" s="7">
        <f>dataset!$M59/dataset!$L59*100</f>
        <v>41.17647058823529</v>
      </c>
      <c r="O59" s="25">
        <f>dataset!$K59*dataset!$G59</f>
        <v>6800</v>
      </c>
      <c r="P59"/>
      <c r="T59">
        <f>dataset!$K59*dataset!$G59</f>
        <v>6800</v>
      </c>
    </row>
    <row r="60" spans="1:20" x14ac:dyDescent="0.35">
      <c r="A60" s="2">
        <v>45775</v>
      </c>
      <c r="B60">
        <f t="shared" si="1"/>
        <v>28</v>
      </c>
      <c r="C60" t="s">
        <v>35</v>
      </c>
      <c r="D60" t="s">
        <v>16</v>
      </c>
      <c r="E60" t="s">
        <v>64</v>
      </c>
      <c r="F60" t="s">
        <v>59</v>
      </c>
      <c r="G60">
        <v>5</v>
      </c>
      <c r="H60">
        <v>2784</v>
      </c>
      <c r="I60" t="s">
        <v>195</v>
      </c>
      <c r="J60" t="s">
        <v>25</v>
      </c>
      <c r="K60">
        <v>1950</v>
      </c>
      <c r="L60" s="7">
        <f t="shared" si="0"/>
        <v>13920</v>
      </c>
      <c r="M60" s="7">
        <f>dataset!$L60-T60</f>
        <v>4170</v>
      </c>
      <c r="N60" s="7">
        <f>dataset!$M60/dataset!$L60*100</f>
        <v>29.956896551724139</v>
      </c>
      <c r="O60" s="25">
        <f>dataset!$K60*dataset!$G60</f>
        <v>9750</v>
      </c>
      <c r="P60"/>
      <c r="T60">
        <f>dataset!$K60*dataset!$G60</f>
        <v>9750</v>
      </c>
    </row>
    <row r="61" spans="1:20" x14ac:dyDescent="0.35">
      <c r="A61" s="2">
        <v>45777</v>
      </c>
      <c r="B61">
        <f t="shared" si="1"/>
        <v>30</v>
      </c>
      <c r="C61" t="s">
        <v>29</v>
      </c>
      <c r="D61" t="s">
        <v>36</v>
      </c>
      <c r="E61" t="s">
        <v>64</v>
      </c>
      <c r="F61" t="s">
        <v>31</v>
      </c>
      <c r="G61">
        <v>23</v>
      </c>
      <c r="H61">
        <v>464</v>
      </c>
      <c r="I61" t="s">
        <v>196</v>
      </c>
      <c r="J61" t="s">
        <v>25</v>
      </c>
      <c r="K61">
        <v>400</v>
      </c>
      <c r="L61" s="7">
        <f t="shared" si="0"/>
        <v>10672</v>
      </c>
      <c r="M61" s="7">
        <f>dataset!$L61-T61</f>
        <v>1472</v>
      </c>
      <c r="N61" s="7">
        <f>dataset!$M61/dataset!$L61*100</f>
        <v>13.793103448275861</v>
      </c>
      <c r="O61" s="25">
        <f>dataset!$K61*dataset!$G61</f>
        <v>9200</v>
      </c>
      <c r="P61"/>
      <c r="T61">
        <f>dataset!$K61*dataset!$G61</f>
        <v>9200</v>
      </c>
    </row>
    <row r="62" spans="1:20" x14ac:dyDescent="0.35">
      <c r="A62" s="2">
        <v>45773</v>
      </c>
      <c r="B62">
        <f t="shared" si="1"/>
        <v>26</v>
      </c>
      <c r="C62" t="s">
        <v>35</v>
      </c>
      <c r="D62" t="s">
        <v>33</v>
      </c>
      <c r="E62" t="s">
        <v>42</v>
      </c>
      <c r="F62" t="s">
        <v>56</v>
      </c>
      <c r="G62">
        <v>31</v>
      </c>
      <c r="H62">
        <v>442</v>
      </c>
      <c r="I62" t="s">
        <v>197</v>
      </c>
      <c r="J62" t="s">
        <v>15</v>
      </c>
      <c r="K62">
        <v>400</v>
      </c>
      <c r="L62" s="7">
        <f t="shared" si="0"/>
        <v>13702</v>
      </c>
      <c r="M62" s="7">
        <f>dataset!$L62-T62</f>
        <v>1302</v>
      </c>
      <c r="N62" s="7">
        <f>dataset!$M62/dataset!$L62*100</f>
        <v>9.502262443438914</v>
      </c>
      <c r="O62" s="25">
        <f>dataset!$K62*dataset!$G62</f>
        <v>12400</v>
      </c>
      <c r="P62"/>
      <c r="T62">
        <f>dataset!$K62*dataset!$G62</f>
        <v>12400</v>
      </c>
    </row>
    <row r="63" spans="1:20" x14ac:dyDescent="0.35">
      <c r="A63" s="2">
        <v>45797</v>
      </c>
      <c r="B63">
        <f t="shared" si="1"/>
        <v>20</v>
      </c>
      <c r="C63" t="s">
        <v>10</v>
      </c>
      <c r="D63" t="s">
        <v>46</v>
      </c>
      <c r="E63" t="s">
        <v>64</v>
      </c>
      <c r="F63" t="s">
        <v>13</v>
      </c>
      <c r="G63">
        <v>32</v>
      </c>
      <c r="H63">
        <v>2723</v>
      </c>
      <c r="I63" t="s">
        <v>198</v>
      </c>
      <c r="J63" t="s">
        <v>25</v>
      </c>
      <c r="K63">
        <v>2100</v>
      </c>
      <c r="L63" s="7">
        <f t="shared" si="0"/>
        <v>87136</v>
      </c>
      <c r="M63" s="7">
        <f>dataset!$L63-T63</f>
        <v>19936</v>
      </c>
      <c r="N63" s="7">
        <f>dataset!$M63/dataset!$L63*100</f>
        <v>22.879177377892031</v>
      </c>
      <c r="O63" s="25">
        <f>dataset!$K63*dataset!$G63</f>
        <v>67200</v>
      </c>
      <c r="P63"/>
      <c r="T63">
        <f>dataset!$K63*dataset!$G63</f>
        <v>67200</v>
      </c>
    </row>
    <row r="64" spans="1:20" x14ac:dyDescent="0.35">
      <c r="A64" s="2">
        <v>45831</v>
      </c>
      <c r="B64">
        <f t="shared" si="1"/>
        <v>23</v>
      </c>
      <c r="C64" t="s">
        <v>10</v>
      </c>
      <c r="D64" t="s">
        <v>33</v>
      </c>
      <c r="E64" t="s">
        <v>42</v>
      </c>
      <c r="F64" t="s">
        <v>31</v>
      </c>
      <c r="G64">
        <v>10</v>
      </c>
      <c r="H64">
        <v>1292</v>
      </c>
      <c r="I64" t="s">
        <v>199</v>
      </c>
      <c r="J64" t="s">
        <v>25</v>
      </c>
      <c r="K64">
        <v>850</v>
      </c>
      <c r="L64" s="7">
        <f t="shared" si="0"/>
        <v>12920</v>
      </c>
      <c r="M64" s="7">
        <f>dataset!$L64-T64</f>
        <v>4420</v>
      </c>
      <c r="N64" s="7">
        <f>dataset!$M64/dataset!$L64*100</f>
        <v>34.210526315789473</v>
      </c>
      <c r="O64" s="25">
        <f>dataset!$K64*dataset!$G64</f>
        <v>8500</v>
      </c>
      <c r="P64"/>
      <c r="T64">
        <f>dataset!$K64*dataset!$G64</f>
        <v>8500</v>
      </c>
    </row>
    <row r="65" spans="1:20" x14ac:dyDescent="0.35">
      <c r="A65" s="2">
        <v>45811</v>
      </c>
      <c r="B65">
        <f t="shared" si="1"/>
        <v>3</v>
      </c>
      <c r="C65" t="s">
        <v>20</v>
      </c>
      <c r="D65" t="s">
        <v>36</v>
      </c>
      <c r="E65" t="s">
        <v>75</v>
      </c>
      <c r="F65" t="s">
        <v>40</v>
      </c>
      <c r="G65">
        <v>19</v>
      </c>
      <c r="H65">
        <v>1752</v>
      </c>
      <c r="I65" t="s">
        <v>200</v>
      </c>
      <c r="J65" t="s">
        <v>25</v>
      </c>
      <c r="K65">
        <v>1550</v>
      </c>
      <c r="L65" s="7">
        <f t="shared" si="0"/>
        <v>33288</v>
      </c>
      <c r="M65" s="7">
        <f>dataset!$L65-T65</f>
        <v>3838</v>
      </c>
      <c r="N65" s="7">
        <f>dataset!$M65/dataset!$L65*100</f>
        <v>11.529680365296803</v>
      </c>
      <c r="O65" s="25">
        <f>dataset!$K65*dataset!$G65</f>
        <v>29450</v>
      </c>
      <c r="P65"/>
      <c r="T65">
        <f>dataset!$K65*dataset!$G65</f>
        <v>29450</v>
      </c>
    </row>
    <row r="66" spans="1:20" x14ac:dyDescent="0.35">
      <c r="A66" s="2">
        <v>45757</v>
      </c>
      <c r="B66">
        <f t="shared" si="1"/>
        <v>10</v>
      </c>
      <c r="C66" t="s">
        <v>29</v>
      </c>
      <c r="D66" t="s">
        <v>11</v>
      </c>
      <c r="E66" t="s">
        <v>39</v>
      </c>
      <c r="F66" t="s">
        <v>13</v>
      </c>
      <c r="G66">
        <v>44</v>
      </c>
      <c r="H66">
        <v>2277</v>
      </c>
      <c r="I66" t="s">
        <v>201</v>
      </c>
      <c r="J66" t="s">
        <v>25</v>
      </c>
      <c r="K66">
        <v>1300</v>
      </c>
      <c r="L66" s="7">
        <f t="shared" ref="L66:L129" si="2">G66*H66</f>
        <v>100188</v>
      </c>
      <c r="M66" s="7">
        <f>dataset!$L66-T66</f>
        <v>42988</v>
      </c>
      <c r="N66" s="7">
        <f>dataset!$M66/dataset!$L66*100</f>
        <v>42.907334211682034</v>
      </c>
      <c r="O66" s="25">
        <f>dataset!$K66*dataset!$G66</f>
        <v>57200</v>
      </c>
      <c r="P66"/>
      <c r="T66">
        <f>dataset!$K66*dataset!$G66</f>
        <v>57200</v>
      </c>
    </row>
    <row r="67" spans="1:20" x14ac:dyDescent="0.35">
      <c r="A67" s="2">
        <v>45807</v>
      </c>
      <c r="B67">
        <f t="shared" ref="B67:B130" si="3">DAY(A67)</f>
        <v>30</v>
      </c>
      <c r="C67" t="s">
        <v>26</v>
      </c>
      <c r="D67" t="s">
        <v>66</v>
      </c>
      <c r="E67" t="s">
        <v>42</v>
      </c>
      <c r="F67" t="s">
        <v>18</v>
      </c>
      <c r="G67">
        <v>34</v>
      </c>
      <c r="H67">
        <v>1084</v>
      </c>
      <c r="I67" t="s">
        <v>202</v>
      </c>
      <c r="J67" t="s">
        <v>15</v>
      </c>
      <c r="K67">
        <v>750</v>
      </c>
      <c r="L67" s="7">
        <f t="shared" si="2"/>
        <v>36856</v>
      </c>
      <c r="M67" s="7">
        <f>dataset!$L67-T67</f>
        <v>11356</v>
      </c>
      <c r="N67" s="7">
        <f>dataset!$M67/dataset!$L67*100</f>
        <v>30.811808118081181</v>
      </c>
      <c r="O67" s="25">
        <f>dataset!$K67*dataset!$G67</f>
        <v>25500</v>
      </c>
      <c r="P67"/>
      <c r="T67">
        <f>dataset!$K67*dataset!$G67</f>
        <v>25500</v>
      </c>
    </row>
    <row r="68" spans="1:20" x14ac:dyDescent="0.35">
      <c r="A68" s="2">
        <v>45753</v>
      </c>
      <c r="B68">
        <f t="shared" si="3"/>
        <v>6</v>
      </c>
      <c r="C68" t="s">
        <v>20</v>
      </c>
      <c r="D68" t="s">
        <v>46</v>
      </c>
      <c r="E68" t="s">
        <v>22</v>
      </c>
      <c r="F68" t="s">
        <v>31</v>
      </c>
      <c r="G68">
        <v>44</v>
      </c>
      <c r="H68">
        <v>2455</v>
      </c>
      <c r="I68" t="s">
        <v>203</v>
      </c>
      <c r="J68" t="s">
        <v>15</v>
      </c>
      <c r="K68">
        <v>1800</v>
      </c>
      <c r="L68" s="7">
        <f t="shared" si="2"/>
        <v>108020</v>
      </c>
      <c r="M68" s="7">
        <f>dataset!$L68-T68</f>
        <v>28820</v>
      </c>
      <c r="N68" s="7">
        <f>dataset!$M68/dataset!$L68*100</f>
        <v>26.680244399185337</v>
      </c>
      <c r="O68" s="25">
        <f>dataset!$K68*dataset!$G68</f>
        <v>79200</v>
      </c>
      <c r="P68"/>
      <c r="T68">
        <f>dataset!$K68*dataset!$G68</f>
        <v>79200</v>
      </c>
    </row>
    <row r="69" spans="1:20" x14ac:dyDescent="0.35">
      <c r="A69" s="2">
        <v>45779</v>
      </c>
      <c r="B69">
        <f t="shared" si="3"/>
        <v>2</v>
      </c>
      <c r="C69" t="s">
        <v>35</v>
      </c>
      <c r="D69" t="s">
        <v>21</v>
      </c>
      <c r="E69" t="s">
        <v>12</v>
      </c>
      <c r="F69" t="s">
        <v>52</v>
      </c>
      <c r="G69">
        <v>27</v>
      </c>
      <c r="H69">
        <v>1812</v>
      </c>
      <c r="I69" t="s">
        <v>53</v>
      </c>
      <c r="J69" t="s">
        <v>25</v>
      </c>
      <c r="K69">
        <v>1350</v>
      </c>
      <c r="L69" s="7">
        <f t="shared" si="2"/>
        <v>48924</v>
      </c>
      <c r="M69" s="7">
        <f>dataset!$L69-T69</f>
        <v>12474</v>
      </c>
      <c r="N69" s="7">
        <f>dataset!$M69/dataset!$L69*100</f>
        <v>25.496688741721858</v>
      </c>
      <c r="O69" s="25">
        <f>dataset!$K69*dataset!$G69</f>
        <v>36450</v>
      </c>
      <c r="P69"/>
      <c r="T69">
        <f>dataset!$K69*dataset!$G69</f>
        <v>36450</v>
      </c>
    </row>
    <row r="70" spans="1:20" x14ac:dyDescent="0.35">
      <c r="A70" s="2">
        <v>45809</v>
      </c>
      <c r="B70">
        <f t="shared" si="3"/>
        <v>1</v>
      </c>
      <c r="C70" t="s">
        <v>10</v>
      </c>
      <c r="D70" t="s">
        <v>21</v>
      </c>
      <c r="E70" t="s">
        <v>64</v>
      </c>
      <c r="F70" t="s">
        <v>47</v>
      </c>
      <c r="G70">
        <v>16</v>
      </c>
      <c r="H70">
        <v>2776</v>
      </c>
      <c r="I70" t="s">
        <v>204</v>
      </c>
      <c r="J70" t="s">
        <v>25</v>
      </c>
      <c r="K70">
        <v>2250</v>
      </c>
      <c r="L70" s="7">
        <f t="shared" si="2"/>
        <v>44416</v>
      </c>
      <c r="M70" s="7">
        <f>dataset!$L70-T70</f>
        <v>8416</v>
      </c>
      <c r="N70" s="7">
        <f>dataset!$M70/dataset!$L70*100</f>
        <v>18.948126801152736</v>
      </c>
      <c r="O70" s="25">
        <f>dataset!$K70*dataset!$G70</f>
        <v>36000</v>
      </c>
      <c r="P70"/>
      <c r="T70">
        <f>dataset!$K70*dataset!$G70</f>
        <v>36000</v>
      </c>
    </row>
    <row r="71" spans="1:20" x14ac:dyDescent="0.35">
      <c r="A71" s="2">
        <v>45835</v>
      </c>
      <c r="B71">
        <f t="shared" si="3"/>
        <v>27</v>
      </c>
      <c r="C71" t="s">
        <v>35</v>
      </c>
      <c r="D71" t="s">
        <v>46</v>
      </c>
      <c r="E71" t="s">
        <v>22</v>
      </c>
      <c r="F71" t="s">
        <v>37</v>
      </c>
      <c r="G71">
        <v>20</v>
      </c>
      <c r="H71">
        <v>1817</v>
      </c>
      <c r="I71" t="s">
        <v>205</v>
      </c>
      <c r="J71" t="s">
        <v>15</v>
      </c>
      <c r="K71">
        <v>950</v>
      </c>
      <c r="L71" s="7">
        <f t="shared" si="2"/>
        <v>36340</v>
      </c>
      <c r="M71" s="7">
        <f>dataset!$L71-T71</f>
        <v>17340</v>
      </c>
      <c r="N71" s="7">
        <f>dataset!$M71/dataset!$L71*100</f>
        <v>47.71601541001651</v>
      </c>
      <c r="O71" s="25">
        <f>dataset!$K71*dataset!$G71</f>
        <v>19000</v>
      </c>
      <c r="P71"/>
      <c r="T71">
        <f>dataset!$K71*dataset!$G71</f>
        <v>19000</v>
      </c>
    </row>
    <row r="72" spans="1:20" x14ac:dyDescent="0.35">
      <c r="A72" s="2">
        <v>45750</v>
      </c>
      <c r="B72">
        <f t="shared" si="3"/>
        <v>3</v>
      </c>
      <c r="C72" t="s">
        <v>10</v>
      </c>
      <c r="D72" t="s">
        <v>16</v>
      </c>
      <c r="E72" t="s">
        <v>54</v>
      </c>
      <c r="F72" t="s">
        <v>47</v>
      </c>
      <c r="G72">
        <v>16</v>
      </c>
      <c r="H72">
        <v>2781</v>
      </c>
      <c r="I72" t="s">
        <v>206</v>
      </c>
      <c r="J72" t="s">
        <v>15</v>
      </c>
      <c r="K72">
        <v>2400</v>
      </c>
      <c r="L72" s="7">
        <f t="shared" si="2"/>
        <v>44496</v>
      </c>
      <c r="M72" s="7">
        <f>dataset!$L72-T72</f>
        <v>6096</v>
      </c>
      <c r="N72" s="7">
        <f>dataset!$M72/dataset!$L72*100</f>
        <v>13.700107874865155</v>
      </c>
      <c r="O72" s="25">
        <f>dataset!$K72*dataset!$G72</f>
        <v>38400</v>
      </c>
      <c r="P72"/>
      <c r="T72">
        <f>dataset!$K72*dataset!$G72</f>
        <v>38400</v>
      </c>
    </row>
    <row r="73" spans="1:20" x14ac:dyDescent="0.35">
      <c r="A73" s="2">
        <v>45818</v>
      </c>
      <c r="B73">
        <f t="shared" si="3"/>
        <v>10</v>
      </c>
      <c r="C73" t="s">
        <v>20</v>
      </c>
      <c r="D73" t="s">
        <v>16</v>
      </c>
      <c r="E73" t="s">
        <v>67</v>
      </c>
      <c r="F73" t="s">
        <v>23</v>
      </c>
      <c r="G73">
        <v>34</v>
      </c>
      <c r="H73">
        <v>710</v>
      </c>
      <c r="I73" t="s">
        <v>207</v>
      </c>
      <c r="J73" t="s">
        <v>25</v>
      </c>
      <c r="K73">
        <v>550</v>
      </c>
      <c r="L73" s="7">
        <f t="shared" si="2"/>
        <v>24140</v>
      </c>
      <c r="M73" s="7">
        <f>dataset!$L73-T73</f>
        <v>5440</v>
      </c>
      <c r="N73" s="7">
        <f>dataset!$M73/dataset!$L73*100</f>
        <v>22.535211267605636</v>
      </c>
      <c r="O73" s="25">
        <f>dataset!$K73*dataset!$G73</f>
        <v>18700</v>
      </c>
      <c r="P73"/>
      <c r="T73">
        <f>dataset!$K73*dataset!$G73</f>
        <v>18700</v>
      </c>
    </row>
    <row r="74" spans="1:20" x14ac:dyDescent="0.35">
      <c r="A74" s="2">
        <v>45827</v>
      </c>
      <c r="B74">
        <f t="shared" si="3"/>
        <v>19</v>
      </c>
      <c r="C74" t="s">
        <v>29</v>
      </c>
      <c r="D74" t="s">
        <v>27</v>
      </c>
      <c r="E74" t="s">
        <v>54</v>
      </c>
      <c r="F74" t="s">
        <v>59</v>
      </c>
      <c r="G74">
        <v>50</v>
      </c>
      <c r="H74">
        <v>365</v>
      </c>
      <c r="I74" t="s">
        <v>208</v>
      </c>
      <c r="J74" t="s">
        <v>15</v>
      </c>
      <c r="K74">
        <v>250</v>
      </c>
      <c r="L74" s="7">
        <f t="shared" si="2"/>
        <v>18250</v>
      </c>
      <c r="M74" s="7">
        <f>dataset!$L74-T74</f>
        <v>5750</v>
      </c>
      <c r="N74" s="7">
        <f>dataset!$M74/dataset!$L74*100</f>
        <v>31.506849315068493</v>
      </c>
      <c r="O74" s="25">
        <f>dataset!$K74*dataset!$G74</f>
        <v>12500</v>
      </c>
      <c r="P74"/>
      <c r="T74">
        <f>dataset!$K74*dataset!$G74</f>
        <v>12500</v>
      </c>
    </row>
    <row r="75" spans="1:20" x14ac:dyDescent="0.35">
      <c r="A75" s="2">
        <v>45749</v>
      </c>
      <c r="B75">
        <f t="shared" si="3"/>
        <v>2</v>
      </c>
      <c r="C75" t="s">
        <v>20</v>
      </c>
      <c r="D75" t="s">
        <v>27</v>
      </c>
      <c r="E75" t="s">
        <v>39</v>
      </c>
      <c r="F75" t="s">
        <v>59</v>
      </c>
      <c r="G75">
        <v>16</v>
      </c>
      <c r="H75">
        <v>637</v>
      </c>
      <c r="I75" t="s">
        <v>209</v>
      </c>
      <c r="J75" t="s">
        <v>15</v>
      </c>
      <c r="K75">
        <v>400</v>
      </c>
      <c r="L75" s="7">
        <f t="shared" si="2"/>
        <v>10192</v>
      </c>
      <c r="M75" s="7">
        <f>dataset!$L75-T75</f>
        <v>3792</v>
      </c>
      <c r="N75" s="7">
        <f>dataset!$M75/dataset!$L75*100</f>
        <v>37.205651491365778</v>
      </c>
      <c r="O75" s="25">
        <f>dataset!$K75*dataset!$G75</f>
        <v>6400</v>
      </c>
      <c r="P75"/>
      <c r="T75">
        <f>dataset!$K75*dataset!$G75</f>
        <v>6400</v>
      </c>
    </row>
    <row r="76" spans="1:20" x14ac:dyDescent="0.35">
      <c r="A76" s="2">
        <v>45834</v>
      </c>
      <c r="B76">
        <f t="shared" si="3"/>
        <v>26</v>
      </c>
      <c r="C76" t="s">
        <v>35</v>
      </c>
      <c r="D76" t="s">
        <v>11</v>
      </c>
      <c r="E76" t="s">
        <v>42</v>
      </c>
      <c r="F76" t="s">
        <v>18</v>
      </c>
      <c r="G76">
        <v>11</v>
      </c>
      <c r="H76">
        <v>1810</v>
      </c>
      <c r="I76" t="s">
        <v>210</v>
      </c>
      <c r="J76" t="s">
        <v>15</v>
      </c>
      <c r="K76">
        <v>1250</v>
      </c>
      <c r="L76" s="7">
        <f t="shared" si="2"/>
        <v>19910</v>
      </c>
      <c r="M76" s="7">
        <f>dataset!$L76-T76</f>
        <v>6160</v>
      </c>
      <c r="N76" s="7">
        <f>dataset!$M76/dataset!$L76*100</f>
        <v>30.939226519337016</v>
      </c>
      <c r="O76" s="25">
        <f>dataset!$K76*dataset!$G76</f>
        <v>13750</v>
      </c>
      <c r="P76"/>
      <c r="T76">
        <f>dataset!$K76*dataset!$G76</f>
        <v>13750</v>
      </c>
    </row>
    <row r="77" spans="1:20" x14ac:dyDescent="0.35">
      <c r="A77" s="2">
        <v>45781</v>
      </c>
      <c r="B77">
        <f t="shared" si="3"/>
        <v>4</v>
      </c>
      <c r="C77" t="s">
        <v>20</v>
      </c>
      <c r="D77" t="s">
        <v>21</v>
      </c>
      <c r="E77" t="s">
        <v>22</v>
      </c>
      <c r="F77" t="s">
        <v>23</v>
      </c>
      <c r="G77">
        <v>13</v>
      </c>
      <c r="H77">
        <v>2205</v>
      </c>
      <c r="I77" t="s">
        <v>211</v>
      </c>
      <c r="J77" t="s">
        <v>25</v>
      </c>
      <c r="K77">
        <v>1800</v>
      </c>
      <c r="L77" s="7">
        <f t="shared" si="2"/>
        <v>28665</v>
      </c>
      <c r="M77" s="7">
        <f>dataset!$L77-T77</f>
        <v>5265</v>
      </c>
      <c r="N77" s="7">
        <f>dataset!$M77/dataset!$L77*100</f>
        <v>18.367346938775512</v>
      </c>
      <c r="O77" s="25">
        <f>dataset!$K77*dataset!$G77</f>
        <v>23400</v>
      </c>
      <c r="P77"/>
      <c r="T77">
        <f>dataset!$K77*dataset!$G77</f>
        <v>23400</v>
      </c>
    </row>
    <row r="78" spans="1:20" x14ac:dyDescent="0.35">
      <c r="A78" s="2">
        <v>45808</v>
      </c>
      <c r="B78">
        <f t="shared" si="3"/>
        <v>31</v>
      </c>
      <c r="C78" t="s">
        <v>20</v>
      </c>
      <c r="D78" t="s">
        <v>46</v>
      </c>
      <c r="E78" t="s">
        <v>30</v>
      </c>
      <c r="F78" t="s">
        <v>18</v>
      </c>
      <c r="G78">
        <v>30</v>
      </c>
      <c r="H78">
        <v>1697</v>
      </c>
      <c r="I78" t="s">
        <v>212</v>
      </c>
      <c r="J78" t="s">
        <v>15</v>
      </c>
      <c r="K78">
        <v>1100</v>
      </c>
      <c r="L78" s="7">
        <f t="shared" si="2"/>
        <v>50910</v>
      </c>
      <c r="M78" s="7">
        <f>dataset!$L78-T78</f>
        <v>17910</v>
      </c>
      <c r="N78" s="7">
        <f>dataset!$M78/dataset!$L78*100</f>
        <v>35.179728933411901</v>
      </c>
      <c r="O78" s="25">
        <f>dataset!$K78*dataset!$G78</f>
        <v>33000</v>
      </c>
      <c r="P78"/>
      <c r="T78">
        <f>dataset!$K78*dataset!$G78</f>
        <v>33000</v>
      </c>
    </row>
    <row r="79" spans="1:20" x14ac:dyDescent="0.35">
      <c r="A79" s="2">
        <v>45806</v>
      </c>
      <c r="B79">
        <f t="shared" si="3"/>
        <v>29</v>
      </c>
      <c r="C79" t="s">
        <v>20</v>
      </c>
      <c r="D79" t="s">
        <v>11</v>
      </c>
      <c r="E79" t="s">
        <v>30</v>
      </c>
      <c r="F79" t="s">
        <v>31</v>
      </c>
      <c r="G79">
        <v>18</v>
      </c>
      <c r="H79">
        <v>582</v>
      </c>
      <c r="I79" t="s">
        <v>213</v>
      </c>
      <c r="J79" t="s">
        <v>25</v>
      </c>
      <c r="K79">
        <v>400</v>
      </c>
      <c r="L79" s="7">
        <f t="shared" si="2"/>
        <v>10476</v>
      </c>
      <c r="M79" s="7">
        <f>dataset!$L79-T79</f>
        <v>3276</v>
      </c>
      <c r="N79" s="7">
        <f>dataset!$M79/dataset!$L79*100</f>
        <v>31.27147766323024</v>
      </c>
      <c r="O79" s="25">
        <f>dataset!$K79*dataset!$G79</f>
        <v>7200</v>
      </c>
      <c r="P79"/>
      <c r="T79">
        <f>dataset!$K79*dataset!$G79</f>
        <v>7200</v>
      </c>
    </row>
    <row r="80" spans="1:20" x14ac:dyDescent="0.35">
      <c r="A80" s="2">
        <v>45808</v>
      </c>
      <c r="B80">
        <f t="shared" si="3"/>
        <v>31</v>
      </c>
      <c r="C80" t="s">
        <v>20</v>
      </c>
      <c r="D80" t="s">
        <v>46</v>
      </c>
      <c r="E80" t="s">
        <v>54</v>
      </c>
      <c r="F80" t="s">
        <v>40</v>
      </c>
      <c r="G80">
        <v>18</v>
      </c>
      <c r="H80">
        <v>1862</v>
      </c>
      <c r="I80" t="s">
        <v>55</v>
      </c>
      <c r="J80" t="s">
        <v>15</v>
      </c>
      <c r="K80">
        <v>1400</v>
      </c>
      <c r="L80" s="7">
        <f t="shared" si="2"/>
        <v>33516</v>
      </c>
      <c r="M80" s="7">
        <f>dataset!$L80-T80</f>
        <v>8316</v>
      </c>
      <c r="N80" s="7">
        <f>dataset!$M80/dataset!$L80*100</f>
        <v>24.81203007518797</v>
      </c>
      <c r="O80" s="25">
        <f>dataset!$K80*dataset!$G80</f>
        <v>25200</v>
      </c>
      <c r="P80"/>
      <c r="T80">
        <f>dataset!$K80*dataset!$G80</f>
        <v>25200</v>
      </c>
    </row>
    <row r="81" spans="1:20" x14ac:dyDescent="0.35">
      <c r="A81" s="2">
        <v>45768</v>
      </c>
      <c r="B81">
        <f t="shared" si="3"/>
        <v>21</v>
      </c>
      <c r="C81" t="s">
        <v>26</v>
      </c>
      <c r="D81" t="s">
        <v>33</v>
      </c>
      <c r="E81" t="s">
        <v>54</v>
      </c>
      <c r="F81" t="s">
        <v>56</v>
      </c>
      <c r="G81">
        <v>39</v>
      </c>
      <c r="H81">
        <v>1939</v>
      </c>
      <c r="I81" t="s">
        <v>214</v>
      </c>
      <c r="J81" t="s">
        <v>15</v>
      </c>
      <c r="K81">
        <v>1300</v>
      </c>
      <c r="L81" s="7">
        <f t="shared" si="2"/>
        <v>75621</v>
      </c>
      <c r="M81" s="7">
        <f>dataset!$L81-T81</f>
        <v>24921</v>
      </c>
      <c r="N81" s="7">
        <f>dataset!$M81/dataset!$L81*100</f>
        <v>32.95513151108819</v>
      </c>
      <c r="O81" s="25">
        <f>dataset!$K81*dataset!$G81</f>
        <v>50700</v>
      </c>
      <c r="P81"/>
      <c r="T81">
        <f>dataset!$K81*dataset!$G81</f>
        <v>50700</v>
      </c>
    </row>
    <row r="82" spans="1:20" x14ac:dyDescent="0.35">
      <c r="A82" s="2">
        <v>45820</v>
      </c>
      <c r="B82">
        <f t="shared" si="3"/>
        <v>12</v>
      </c>
      <c r="C82" t="s">
        <v>26</v>
      </c>
      <c r="D82" t="s">
        <v>33</v>
      </c>
      <c r="E82" t="s">
        <v>30</v>
      </c>
      <c r="F82" t="s">
        <v>59</v>
      </c>
      <c r="G82">
        <v>43</v>
      </c>
      <c r="H82">
        <v>1892</v>
      </c>
      <c r="I82" t="s">
        <v>215</v>
      </c>
      <c r="J82" t="s">
        <v>15</v>
      </c>
      <c r="K82">
        <v>950</v>
      </c>
      <c r="L82" s="7">
        <f t="shared" si="2"/>
        <v>81356</v>
      </c>
      <c r="M82" s="7">
        <f>dataset!$L82-T82</f>
        <v>40506</v>
      </c>
      <c r="N82" s="7">
        <f>dataset!$M82/dataset!$L82*100</f>
        <v>49.788583509513742</v>
      </c>
      <c r="O82" s="25">
        <f>dataset!$K82*dataset!$G82</f>
        <v>40850</v>
      </c>
      <c r="P82"/>
      <c r="T82">
        <f>dataset!$K82*dataset!$G82</f>
        <v>40850</v>
      </c>
    </row>
    <row r="83" spans="1:20" x14ac:dyDescent="0.35">
      <c r="A83" s="2">
        <v>45779</v>
      </c>
      <c r="B83">
        <f t="shared" si="3"/>
        <v>2</v>
      </c>
      <c r="C83" t="s">
        <v>10</v>
      </c>
      <c r="D83" t="s">
        <v>21</v>
      </c>
      <c r="E83" t="s">
        <v>42</v>
      </c>
      <c r="F83" t="s">
        <v>23</v>
      </c>
      <c r="G83">
        <v>36</v>
      </c>
      <c r="H83">
        <v>832</v>
      </c>
      <c r="I83" t="s">
        <v>216</v>
      </c>
      <c r="J83" t="s">
        <v>15</v>
      </c>
      <c r="K83">
        <v>500</v>
      </c>
      <c r="L83" s="7">
        <f t="shared" si="2"/>
        <v>29952</v>
      </c>
      <c r="M83" s="7">
        <f>dataset!$L83-T83</f>
        <v>11952</v>
      </c>
      <c r="N83" s="7">
        <f>dataset!$M83/dataset!$L83*100</f>
        <v>39.903846153846153</v>
      </c>
      <c r="O83" s="25">
        <f>dataset!$K83*dataset!$G83</f>
        <v>18000</v>
      </c>
      <c r="P83"/>
      <c r="T83">
        <f>dataset!$K83*dataset!$G83</f>
        <v>18000</v>
      </c>
    </row>
    <row r="84" spans="1:20" x14ac:dyDescent="0.35">
      <c r="A84" s="2">
        <v>45771</v>
      </c>
      <c r="B84">
        <f t="shared" si="3"/>
        <v>24</v>
      </c>
      <c r="C84" t="s">
        <v>29</v>
      </c>
      <c r="D84" t="s">
        <v>33</v>
      </c>
      <c r="E84" t="s">
        <v>30</v>
      </c>
      <c r="F84" t="s">
        <v>40</v>
      </c>
      <c r="G84">
        <v>6</v>
      </c>
      <c r="H84">
        <v>2665</v>
      </c>
      <c r="I84" t="s">
        <v>217</v>
      </c>
      <c r="J84" t="s">
        <v>25</v>
      </c>
      <c r="K84">
        <v>2050</v>
      </c>
      <c r="L84" s="7">
        <f t="shared" si="2"/>
        <v>15990</v>
      </c>
      <c r="M84" s="7">
        <f>dataset!$L84-T84</f>
        <v>3690</v>
      </c>
      <c r="N84" s="7">
        <f>dataset!$M84/dataset!$L84*100</f>
        <v>23.076923076923077</v>
      </c>
      <c r="O84" s="25">
        <f>dataset!$K84*dataset!$G84</f>
        <v>12300</v>
      </c>
      <c r="P84"/>
      <c r="T84">
        <f>dataset!$K84*dataset!$G84</f>
        <v>12300</v>
      </c>
    </row>
    <row r="85" spans="1:20" x14ac:dyDescent="0.35">
      <c r="A85" s="2">
        <v>45768</v>
      </c>
      <c r="B85">
        <f t="shared" si="3"/>
        <v>21</v>
      </c>
      <c r="C85" t="s">
        <v>10</v>
      </c>
      <c r="D85" t="s">
        <v>21</v>
      </c>
      <c r="E85" t="s">
        <v>67</v>
      </c>
      <c r="F85" t="s">
        <v>59</v>
      </c>
      <c r="G85">
        <v>29</v>
      </c>
      <c r="H85">
        <v>1571</v>
      </c>
      <c r="I85" t="s">
        <v>218</v>
      </c>
      <c r="J85" t="s">
        <v>25</v>
      </c>
      <c r="K85">
        <v>1050</v>
      </c>
      <c r="L85" s="7">
        <f t="shared" si="2"/>
        <v>45559</v>
      </c>
      <c r="M85" s="7">
        <f>dataset!$L85-T85</f>
        <v>15109</v>
      </c>
      <c r="N85" s="7">
        <f>dataset!$M85/dataset!$L85*100</f>
        <v>33.163590070019097</v>
      </c>
      <c r="O85" s="25">
        <f>dataset!$K85*dataset!$G85</f>
        <v>30450</v>
      </c>
      <c r="P85"/>
      <c r="T85">
        <f>dataset!$K85*dataset!$G85</f>
        <v>30450</v>
      </c>
    </row>
    <row r="86" spans="1:20" x14ac:dyDescent="0.35">
      <c r="A86" s="2">
        <v>45824</v>
      </c>
      <c r="B86">
        <f t="shared" si="3"/>
        <v>16</v>
      </c>
      <c r="C86" t="s">
        <v>26</v>
      </c>
      <c r="D86" t="s">
        <v>21</v>
      </c>
      <c r="E86" t="s">
        <v>67</v>
      </c>
      <c r="F86" t="s">
        <v>23</v>
      </c>
      <c r="G86">
        <v>48</v>
      </c>
      <c r="H86">
        <v>393</v>
      </c>
      <c r="I86" t="s">
        <v>219</v>
      </c>
      <c r="J86" t="s">
        <v>15</v>
      </c>
      <c r="K86">
        <v>350</v>
      </c>
      <c r="L86" s="7">
        <f t="shared" si="2"/>
        <v>18864</v>
      </c>
      <c r="M86" s="7">
        <f>dataset!$L86-T86</f>
        <v>2064</v>
      </c>
      <c r="N86" s="7">
        <f>dataset!$M86/dataset!$L86*100</f>
        <v>10.941475826972011</v>
      </c>
      <c r="O86" s="25">
        <f>dataset!$K86*dataset!$G86</f>
        <v>16800</v>
      </c>
      <c r="P86"/>
      <c r="T86">
        <f>dataset!$K86*dataset!$G86</f>
        <v>16800</v>
      </c>
    </row>
    <row r="87" spans="1:20" x14ac:dyDescent="0.35">
      <c r="A87" s="2">
        <v>45755</v>
      </c>
      <c r="B87">
        <f t="shared" si="3"/>
        <v>8</v>
      </c>
      <c r="C87" t="s">
        <v>20</v>
      </c>
      <c r="D87" t="s">
        <v>16</v>
      </c>
      <c r="E87" t="s">
        <v>54</v>
      </c>
      <c r="F87" t="s">
        <v>18</v>
      </c>
      <c r="G87">
        <v>37</v>
      </c>
      <c r="H87">
        <v>328</v>
      </c>
      <c r="I87" t="s">
        <v>220</v>
      </c>
      <c r="J87" t="s">
        <v>15</v>
      </c>
      <c r="K87">
        <v>200</v>
      </c>
      <c r="L87" s="7">
        <f t="shared" si="2"/>
        <v>12136</v>
      </c>
      <c r="M87" s="7">
        <f>dataset!$L87-T87</f>
        <v>4736</v>
      </c>
      <c r="N87" s="7">
        <f>dataset!$M87/dataset!$L87*100</f>
        <v>39.024390243902438</v>
      </c>
      <c r="O87" s="25">
        <f>dataset!$K87*dataset!$G87</f>
        <v>7400</v>
      </c>
      <c r="P87"/>
      <c r="T87">
        <f>dataset!$K87*dataset!$G87</f>
        <v>7400</v>
      </c>
    </row>
    <row r="88" spans="1:20" x14ac:dyDescent="0.35">
      <c r="A88" s="2">
        <v>45775</v>
      </c>
      <c r="B88">
        <f t="shared" si="3"/>
        <v>28</v>
      </c>
      <c r="C88" t="s">
        <v>29</v>
      </c>
      <c r="D88" t="s">
        <v>36</v>
      </c>
      <c r="E88" t="s">
        <v>75</v>
      </c>
      <c r="F88" t="s">
        <v>59</v>
      </c>
      <c r="G88">
        <v>36</v>
      </c>
      <c r="H88">
        <v>2631</v>
      </c>
      <c r="I88" t="s">
        <v>221</v>
      </c>
      <c r="J88" t="s">
        <v>25</v>
      </c>
      <c r="K88">
        <v>1550</v>
      </c>
      <c r="L88" s="7">
        <f t="shared" si="2"/>
        <v>94716</v>
      </c>
      <c r="M88" s="7">
        <f>dataset!$L88-T88</f>
        <v>38916</v>
      </c>
      <c r="N88" s="7">
        <f>dataset!$M88/dataset!$L88*100</f>
        <v>41.087039148612696</v>
      </c>
      <c r="O88" s="25">
        <f>dataset!$K88*dataset!$G88</f>
        <v>55800</v>
      </c>
      <c r="P88"/>
      <c r="T88">
        <f>dataset!$K88*dataset!$G88</f>
        <v>55800</v>
      </c>
    </row>
    <row r="89" spans="1:20" x14ac:dyDescent="0.35">
      <c r="A89" s="2">
        <v>45792</v>
      </c>
      <c r="B89">
        <f t="shared" si="3"/>
        <v>15</v>
      </c>
      <c r="C89" t="s">
        <v>26</v>
      </c>
      <c r="D89" t="s">
        <v>21</v>
      </c>
      <c r="E89" t="s">
        <v>75</v>
      </c>
      <c r="F89" t="s">
        <v>56</v>
      </c>
      <c r="G89">
        <v>24</v>
      </c>
      <c r="H89">
        <v>1041</v>
      </c>
      <c r="I89" t="s">
        <v>222</v>
      </c>
      <c r="J89" t="s">
        <v>15</v>
      </c>
      <c r="K89">
        <v>900</v>
      </c>
      <c r="L89" s="7">
        <f t="shared" si="2"/>
        <v>24984</v>
      </c>
      <c r="M89" s="7">
        <f>dataset!$L89-T89</f>
        <v>3384</v>
      </c>
      <c r="N89" s="7">
        <f>dataset!$M89/dataset!$L89*100</f>
        <v>13.544668587896252</v>
      </c>
      <c r="O89" s="25">
        <f>dataset!$K89*dataset!$G89</f>
        <v>21600</v>
      </c>
      <c r="P89"/>
      <c r="T89">
        <f>dataset!$K89*dataset!$G89</f>
        <v>21600</v>
      </c>
    </row>
    <row r="90" spans="1:20" x14ac:dyDescent="0.35">
      <c r="A90" s="2">
        <v>45784</v>
      </c>
      <c r="B90">
        <f t="shared" si="3"/>
        <v>7</v>
      </c>
      <c r="C90" t="s">
        <v>20</v>
      </c>
      <c r="D90" t="s">
        <v>66</v>
      </c>
      <c r="E90" t="s">
        <v>17</v>
      </c>
      <c r="F90" t="s">
        <v>31</v>
      </c>
      <c r="G90">
        <v>31</v>
      </c>
      <c r="H90">
        <v>1474</v>
      </c>
      <c r="I90" t="s">
        <v>223</v>
      </c>
      <c r="J90" t="s">
        <v>15</v>
      </c>
      <c r="K90">
        <v>800</v>
      </c>
      <c r="L90" s="7">
        <f t="shared" si="2"/>
        <v>45694</v>
      </c>
      <c r="M90" s="7">
        <f>dataset!$L90-T90</f>
        <v>20894</v>
      </c>
      <c r="N90" s="7">
        <f>dataset!$M90/dataset!$L90*100</f>
        <v>45.725915875169605</v>
      </c>
      <c r="O90" s="25">
        <f>dataset!$K90*dataset!$G90</f>
        <v>24800</v>
      </c>
      <c r="P90"/>
      <c r="T90">
        <f>dataset!$K90*dataset!$G90</f>
        <v>24800</v>
      </c>
    </row>
    <row r="91" spans="1:20" x14ac:dyDescent="0.35">
      <c r="A91" s="2">
        <v>45831</v>
      </c>
      <c r="B91">
        <f t="shared" si="3"/>
        <v>23</v>
      </c>
      <c r="C91" t="s">
        <v>20</v>
      </c>
      <c r="D91" t="s">
        <v>36</v>
      </c>
      <c r="E91" t="s">
        <v>54</v>
      </c>
      <c r="F91" t="s">
        <v>56</v>
      </c>
      <c r="G91">
        <v>6</v>
      </c>
      <c r="H91">
        <v>1033</v>
      </c>
      <c r="I91" t="s">
        <v>57</v>
      </c>
      <c r="J91" t="s">
        <v>25</v>
      </c>
      <c r="K91">
        <v>850</v>
      </c>
      <c r="L91" s="7">
        <f t="shared" si="2"/>
        <v>6198</v>
      </c>
      <c r="M91" s="7">
        <f>dataset!$L91-T91</f>
        <v>1098</v>
      </c>
      <c r="N91" s="7">
        <f>dataset!$M91/dataset!$L91*100</f>
        <v>17.71539206195547</v>
      </c>
      <c r="O91" s="25">
        <f>dataset!$K91*dataset!$G91</f>
        <v>5100</v>
      </c>
      <c r="P91"/>
      <c r="T91">
        <f>dataset!$K91*dataset!$G91</f>
        <v>5100</v>
      </c>
    </row>
    <row r="92" spans="1:20" x14ac:dyDescent="0.35">
      <c r="A92" s="2">
        <v>45802</v>
      </c>
      <c r="B92">
        <f t="shared" si="3"/>
        <v>25</v>
      </c>
      <c r="C92" t="s">
        <v>35</v>
      </c>
      <c r="D92" t="s">
        <v>33</v>
      </c>
      <c r="E92" t="s">
        <v>75</v>
      </c>
      <c r="F92" t="s">
        <v>37</v>
      </c>
      <c r="G92">
        <v>30</v>
      </c>
      <c r="H92">
        <v>1280</v>
      </c>
      <c r="I92" t="s">
        <v>224</v>
      </c>
      <c r="J92" t="s">
        <v>25</v>
      </c>
      <c r="K92">
        <v>750</v>
      </c>
      <c r="L92" s="7">
        <f t="shared" si="2"/>
        <v>38400</v>
      </c>
      <c r="M92" s="7">
        <f>dataset!$L92-T92</f>
        <v>15900</v>
      </c>
      <c r="N92" s="7">
        <f>dataset!$M92/dataset!$L92*100</f>
        <v>41.40625</v>
      </c>
      <c r="O92" s="25">
        <f>dataset!$K92*dataset!$G92</f>
        <v>22500</v>
      </c>
      <c r="P92"/>
      <c r="T92">
        <f>dataset!$K92*dataset!$G92</f>
        <v>22500</v>
      </c>
    </row>
    <row r="93" spans="1:20" x14ac:dyDescent="0.35">
      <c r="A93" s="2">
        <v>45781</v>
      </c>
      <c r="B93">
        <f t="shared" si="3"/>
        <v>4</v>
      </c>
      <c r="C93" t="s">
        <v>20</v>
      </c>
      <c r="D93" t="s">
        <v>66</v>
      </c>
      <c r="E93" t="s">
        <v>17</v>
      </c>
      <c r="F93" t="s">
        <v>23</v>
      </c>
      <c r="G93">
        <v>29</v>
      </c>
      <c r="H93">
        <v>404</v>
      </c>
      <c r="I93" t="s">
        <v>225</v>
      </c>
      <c r="J93" t="s">
        <v>15</v>
      </c>
      <c r="K93">
        <v>300</v>
      </c>
      <c r="L93" s="7">
        <f t="shared" si="2"/>
        <v>11716</v>
      </c>
      <c r="M93" s="7">
        <f>dataset!$L93-T93</f>
        <v>3016</v>
      </c>
      <c r="N93" s="7">
        <f>dataset!$M93/dataset!$L93*100</f>
        <v>25.742574257425744</v>
      </c>
      <c r="O93" s="25">
        <f>dataset!$K93*dataset!$G93</f>
        <v>8700</v>
      </c>
      <c r="P93"/>
      <c r="T93">
        <f>dataset!$K93*dataset!$G93</f>
        <v>8700</v>
      </c>
    </row>
    <row r="94" spans="1:20" x14ac:dyDescent="0.35">
      <c r="A94" s="2">
        <v>45778</v>
      </c>
      <c r="B94">
        <f t="shared" si="3"/>
        <v>1</v>
      </c>
      <c r="C94" t="s">
        <v>35</v>
      </c>
      <c r="D94" t="s">
        <v>27</v>
      </c>
      <c r="E94" t="s">
        <v>75</v>
      </c>
      <c r="F94" t="s">
        <v>52</v>
      </c>
      <c r="G94">
        <v>21</v>
      </c>
      <c r="H94">
        <v>300</v>
      </c>
      <c r="I94" t="s">
        <v>226</v>
      </c>
      <c r="J94" t="s">
        <v>25</v>
      </c>
      <c r="K94">
        <v>200</v>
      </c>
      <c r="L94" s="7">
        <f t="shared" si="2"/>
        <v>6300</v>
      </c>
      <c r="M94" s="7">
        <f>dataset!$L94-T94</f>
        <v>2100</v>
      </c>
      <c r="N94" s="7">
        <f>dataset!$M94/dataset!$L94*100</f>
        <v>33.333333333333329</v>
      </c>
      <c r="O94" s="25">
        <f>dataset!$K94*dataset!$G94</f>
        <v>4200</v>
      </c>
      <c r="P94"/>
      <c r="T94">
        <f>dataset!$K94*dataset!$G94</f>
        <v>4200</v>
      </c>
    </row>
    <row r="95" spans="1:20" x14ac:dyDescent="0.35">
      <c r="A95" s="2">
        <v>45835</v>
      </c>
      <c r="B95">
        <f t="shared" si="3"/>
        <v>27</v>
      </c>
      <c r="C95" t="s">
        <v>10</v>
      </c>
      <c r="D95" t="s">
        <v>36</v>
      </c>
      <c r="E95" t="s">
        <v>17</v>
      </c>
      <c r="F95" t="s">
        <v>13</v>
      </c>
      <c r="G95">
        <v>19</v>
      </c>
      <c r="H95">
        <v>1430</v>
      </c>
      <c r="I95" t="s">
        <v>227</v>
      </c>
      <c r="J95" t="s">
        <v>25</v>
      </c>
      <c r="K95">
        <v>1250</v>
      </c>
      <c r="L95" s="7">
        <f t="shared" si="2"/>
        <v>27170</v>
      </c>
      <c r="M95" s="7">
        <f>dataset!$L95-T95</f>
        <v>3420</v>
      </c>
      <c r="N95" s="7">
        <f>dataset!$M95/dataset!$L95*100</f>
        <v>12.587412587412588</v>
      </c>
      <c r="O95" s="25">
        <f>dataset!$K95*dataset!$G95</f>
        <v>23750</v>
      </c>
      <c r="P95"/>
      <c r="T95">
        <f>dataset!$K95*dataset!$G95</f>
        <v>23750</v>
      </c>
    </row>
    <row r="96" spans="1:20" x14ac:dyDescent="0.35">
      <c r="A96" s="2">
        <v>45748</v>
      </c>
      <c r="B96">
        <f t="shared" si="3"/>
        <v>1</v>
      </c>
      <c r="C96" t="s">
        <v>20</v>
      </c>
      <c r="D96" t="s">
        <v>27</v>
      </c>
      <c r="E96" t="s">
        <v>30</v>
      </c>
      <c r="F96" t="s">
        <v>18</v>
      </c>
      <c r="G96">
        <v>42</v>
      </c>
      <c r="H96">
        <v>2633</v>
      </c>
      <c r="I96" t="s">
        <v>228</v>
      </c>
      <c r="J96" t="s">
        <v>25</v>
      </c>
      <c r="K96">
        <v>2050</v>
      </c>
      <c r="L96" s="7">
        <f t="shared" si="2"/>
        <v>110586</v>
      </c>
      <c r="M96" s="7">
        <f>dataset!$L96-T96</f>
        <v>24486</v>
      </c>
      <c r="N96" s="7">
        <f>dataset!$M96/dataset!$L96*100</f>
        <v>22.142043296619825</v>
      </c>
      <c r="O96" s="25">
        <f>dataset!$K96*dataset!$G96</f>
        <v>86100</v>
      </c>
      <c r="P96"/>
      <c r="T96">
        <f>dataset!$K96*dataset!$G96</f>
        <v>86100</v>
      </c>
    </row>
    <row r="97" spans="1:20" x14ac:dyDescent="0.35">
      <c r="A97" s="2">
        <v>45820</v>
      </c>
      <c r="B97">
        <f t="shared" si="3"/>
        <v>12</v>
      </c>
      <c r="C97" t="s">
        <v>29</v>
      </c>
      <c r="D97" t="s">
        <v>16</v>
      </c>
      <c r="E97" t="s">
        <v>75</v>
      </c>
      <c r="F97" t="s">
        <v>59</v>
      </c>
      <c r="G97">
        <v>43</v>
      </c>
      <c r="H97">
        <v>1138</v>
      </c>
      <c r="I97" t="s">
        <v>229</v>
      </c>
      <c r="J97" t="s">
        <v>15</v>
      </c>
      <c r="K97">
        <v>950</v>
      </c>
      <c r="L97" s="7">
        <f t="shared" si="2"/>
        <v>48934</v>
      </c>
      <c r="M97" s="7">
        <f>dataset!$L97-T97</f>
        <v>8084</v>
      </c>
      <c r="N97" s="7">
        <f>dataset!$M97/dataset!$L97*100</f>
        <v>16.520210896309315</v>
      </c>
      <c r="O97" s="25">
        <f>dataset!$K97*dataset!$G97</f>
        <v>40850</v>
      </c>
      <c r="P97"/>
      <c r="T97">
        <f>dataset!$K97*dataset!$G97</f>
        <v>40850</v>
      </c>
    </row>
    <row r="98" spans="1:20" x14ac:dyDescent="0.35">
      <c r="A98" s="2">
        <v>45760</v>
      </c>
      <c r="B98">
        <f t="shared" si="3"/>
        <v>13</v>
      </c>
      <c r="C98" t="s">
        <v>26</v>
      </c>
      <c r="D98" t="s">
        <v>36</v>
      </c>
      <c r="E98" t="s">
        <v>30</v>
      </c>
      <c r="F98" t="s">
        <v>18</v>
      </c>
      <c r="G98">
        <v>6</v>
      </c>
      <c r="H98">
        <v>592</v>
      </c>
      <c r="I98" t="s">
        <v>230</v>
      </c>
      <c r="J98" t="s">
        <v>25</v>
      </c>
      <c r="K98">
        <v>500</v>
      </c>
      <c r="L98" s="7">
        <f t="shared" si="2"/>
        <v>3552</v>
      </c>
      <c r="M98" s="7">
        <f>dataset!$L98-T98</f>
        <v>552</v>
      </c>
      <c r="N98" s="7">
        <f>dataset!$M98/dataset!$L98*100</f>
        <v>15.54054054054054</v>
      </c>
      <c r="O98" s="25">
        <f>dataset!$K98*dataset!$G98</f>
        <v>3000</v>
      </c>
      <c r="P98"/>
      <c r="T98">
        <f>dataset!$K98*dataset!$G98</f>
        <v>3000</v>
      </c>
    </row>
    <row r="99" spans="1:20" x14ac:dyDescent="0.35">
      <c r="A99" s="2">
        <v>45754</v>
      </c>
      <c r="B99">
        <f t="shared" si="3"/>
        <v>7</v>
      </c>
      <c r="C99" t="s">
        <v>26</v>
      </c>
      <c r="D99" t="s">
        <v>66</v>
      </c>
      <c r="E99" t="s">
        <v>42</v>
      </c>
      <c r="F99" t="s">
        <v>37</v>
      </c>
      <c r="G99">
        <v>50</v>
      </c>
      <c r="H99">
        <v>2520</v>
      </c>
      <c r="I99" t="s">
        <v>231</v>
      </c>
      <c r="J99" t="s">
        <v>25</v>
      </c>
      <c r="K99">
        <v>1750</v>
      </c>
      <c r="L99" s="7">
        <f t="shared" si="2"/>
        <v>126000</v>
      </c>
      <c r="M99" s="7">
        <f>dataset!$L99-T99</f>
        <v>38500</v>
      </c>
      <c r="N99" s="7">
        <f>dataset!$M99/dataset!$L99*100</f>
        <v>30.555555555555557</v>
      </c>
      <c r="O99" s="25">
        <f>dataset!$K99*dataset!$G99</f>
        <v>87500</v>
      </c>
      <c r="P99"/>
      <c r="T99">
        <f>dataset!$K99*dataset!$G99</f>
        <v>87500</v>
      </c>
    </row>
    <row r="100" spans="1:20" x14ac:dyDescent="0.35">
      <c r="A100" s="2">
        <v>45814</v>
      </c>
      <c r="B100">
        <f t="shared" si="3"/>
        <v>6</v>
      </c>
      <c r="C100" t="s">
        <v>20</v>
      </c>
      <c r="D100" t="s">
        <v>11</v>
      </c>
      <c r="E100" t="s">
        <v>39</v>
      </c>
      <c r="F100" t="s">
        <v>52</v>
      </c>
      <c r="G100">
        <v>26</v>
      </c>
      <c r="H100">
        <v>537</v>
      </c>
      <c r="I100" t="s">
        <v>232</v>
      </c>
      <c r="J100" t="s">
        <v>15</v>
      </c>
      <c r="K100">
        <v>350</v>
      </c>
      <c r="L100" s="7">
        <f t="shared" si="2"/>
        <v>13962</v>
      </c>
      <c r="M100" s="7">
        <f>dataset!$L100-T100</f>
        <v>4862</v>
      </c>
      <c r="N100" s="7">
        <f>dataset!$M100/dataset!$L100*100</f>
        <v>34.823091247672252</v>
      </c>
      <c r="O100" s="25">
        <f>dataset!$K100*dataset!$G100</f>
        <v>9100</v>
      </c>
      <c r="P100"/>
      <c r="T100">
        <f>dataset!$K100*dataset!$G100</f>
        <v>9100</v>
      </c>
    </row>
    <row r="101" spans="1:20" x14ac:dyDescent="0.35">
      <c r="A101" s="2">
        <v>45759</v>
      </c>
      <c r="B101">
        <f t="shared" si="3"/>
        <v>12</v>
      </c>
      <c r="C101" t="s">
        <v>20</v>
      </c>
      <c r="D101" t="s">
        <v>27</v>
      </c>
      <c r="E101" t="s">
        <v>12</v>
      </c>
      <c r="F101" t="s">
        <v>40</v>
      </c>
      <c r="G101">
        <v>7</v>
      </c>
      <c r="H101">
        <v>1313</v>
      </c>
      <c r="I101" t="s">
        <v>233</v>
      </c>
      <c r="J101" t="s">
        <v>25</v>
      </c>
      <c r="K101">
        <v>800</v>
      </c>
      <c r="L101" s="7">
        <f t="shared" si="2"/>
        <v>9191</v>
      </c>
      <c r="M101" s="7">
        <f>dataset!$L101-T101</f>
        <v>3591</v>
      </c>
      <c r="N101" s="7">
        <f>dataset!$M101/dataset!$L101*100</f>
        <v>39.070830159939071</v>
      </c>
      <c r="O101" s="25">
        <f>dataset!$K101*dataset!$G101</f>
        <v>5600</v>
      </c>
      <c r="P101"/>
      <c r="T101">
        <f>dataset!$K101*dataset!$G101</f>
        <v>5600</v>
      </c>
    </row>
    <row r="102" spans="1:20" x14ac:dyDescent="0.35">
      <c r="A102" s="2">
        <v>45769</v>
      </c>
      <c r="B102">
        <f t="shared" si="3"/>
        <v>22</v>
      </c>
      <c r="C102" t="s">
        <v>26</v>
      </c>
      <c r="D102" t="s">
        <v>27</v>
      </c>
      <c r="E102" t="s">
        <v>54</v>
      </c>
      <c r="F102" t="s">
        <v>40</v>
      </c>
      <c r="G102">
        <v>50</v>
      </c>
      <c r="H102">
        <v>2044</v>
      </c>
      <c r="I102" t="s">
        <v>58</v>
      </c>
      <c r="J102" t="s">
        <v>15</v>
      </c>
      <c r="K102">
        <v>1050</v>
      </c>
      <c r="L102" s="7">
        <f t="shared" si="2"/>
        <v>102200</v>
      </c>
      <c r="M102" s="7">
        <f>dataset!$L102-T102</f>
        <v>49700</v>
      </c>
      <c r="N102" s="7">
        <f>dataset!$M102/dataset!$L102*100</f>
        <v>48.630136986301373</v>
      </c>
      <c r="O102" s="25">
        <f>dataset!$K102*dataset!$G102</f>
        <v>52500</v>
      </c>
      <c r="P102"/>
      <c r="T102">
        <f>dataset!$K102*dataset!$G102</f>
        <v>52500</v>
      </c>
    </row>
    <row r="103" spans="1:20" x14ac:dyDescent="0.35">
      <c r="A103" s="2">
        <v>45764</v>
      </c>
      <c r="B103">
        <f t="shared" si="3"/>
        <v>17</v>
      </c>
      <c r="C103" t="s">
        <v>26</v>
      </c>
      <c r="D103" t="s">
        <v>66</v>
      </c>
      <c r="E103" t="s">
        <v>39</v>
      </c>
      <c r="F103" t="s">
        <v>40</v>
      </c>
      <c r="G103">
        <v>19</v>
      </c>
      <c r="H103">
        <v>929</v>
      </c>
      <c r="I103" t="s">
        <v>234</v>
      </c>
      <c r="J103" t="s">
        <v>15</v>
      </c>
      <c r="K103">
        <v>750</v>
      </c>
      <c r="L103" s="7">
        <f t="shared" si="2"/>
        <v>17651</v>
      </c>
      <c r="M103" s="7">
        <f>dataset!$L103-T103</f>
        <v>3401</v>
      </c>
      <c r="N103" s="7">
        <f>dataset!$M103/dataset!$L103*100</f>
        <v>19.268030139935412</v>
      </c>
      <c r="O103" s="25">
        <f>dataset!$K103*dataset!$G103</f>
        <v>14250</v>
      </c>
      <c r="P103"/>
      <c r="T103">
        <f>dataset!$K103*dataset!$G103</f>
        <v>14250</v>
      </c>
    </row>
    <row r="104" spans="1:20" x14ac:dyDescent="0.35">
      <c r="A104" s="2">
        <v>45786</v>
      </c>
      <c r="B104">
        <f t="shared" si="3"/>
        <v>9</v>
      </c>
      <c r="C104" t="s">
        <v>26</v>
      </c>
      <c r="D104" t="s">
        <v>36</v>
      </c>
      <c r="E104" t="s">
        <v>42</v>
      </c>
      <c r="F104" t="s">
        <v>13</v>
      </c>
      <c r="G104">
        <v>10</v>
      </c>
      <c r="H104">
        <v>2678</v>
      </c>
      <c r="I104" t="s">
        <v>235</v>
      </c>
      <c r="J104" t="s">
        <v>15</v>
      </c>
      <c r="K104">
        <v>2050</v>
      </c>
      <c r="L104" s="7">
        <f t="shared" si="2"/>
        <v>26780</v>
      </c>
      <c r="M104" s="7">
        <f>dataset!$L104-T104</f>
        <v>6280</v>
      </c>
      <c r="N104" s="7">
        <f>dataset!$M104/dataset!$L104*100</f>
        <v>23.450336071695297</v>
      </c>
      <c r="O104" s="25">
        <f>dataset!$K104*dataset!$G104</f>
        <v>20500</v>
      </c>
      <c r="P104"/>
      <c r="T104">
        <f>dataset!$K104*dataset!$G104</f>
        <v>20500</v>
      </c>
    </row>
    <row r="105" spans="1:20" x14ac:dyDescent="0.35">
      <c r="A105" s="2">
        <v>45791</v>
      </c>
      <c r="B105">
        <f t="shared" si="3"/>
        <v>14</v>
      </c>
      <c r="C105" t="s">
        <v>35</v>
      </c>
      <c r="D105" t="s">
        <v>27</v>
      </c>
      <c r="E105" t="s">
        <v>64</v>
      </c>
      <c r="F105" t="s">
        <v>40</v>
      </c>
      <c r="G105">
        <v>14</v>
      </c>
      <c r="H105">
        <v>1416</v>
      </c>
      <c r="I105" t="s">
        <v>236</v>
      </c>
      <c r="J105" t="s">
        <v>25</v>
      </c>
      <c r="K105">
        <v>1150</v>
      </c>
      <c r="L105" s="7">
        <f t="shared" si="2"/>
        <v>19824</v>
      </c>
      <c r="M105" s="7">
        <f>dataset!$L105-T105</f>
        <v>3724</v>
      </c>
      <c r="N105" s="7">
        <f>dataset!$M105/dataset!$L105*100</f>
        <v>18.785310734463277</v>
      </c>
      <c r="O105" s="25">
        <f>dataset!$K105*dataset!$G105</f>
        <v>16100</v>
      </c>
      <c r="P105"/>
      <c r="T105">
        <f>dataset!$K105*dataset!$G105</f>
        <v>16100</v>
      </c>
    </row>
    <row r="106" spans="1:20" x14ac:dyDescent="0.35">
      <c r="A106" s="2">
        <v>45757</v>
      </c>
      <c r="B106">
        <f t="shared" si="3"/>
        <v>10</v>
      </c>
      <c r="C106" t="s">
        <v>29</v>
      </c>
      <c r="D106" t="s">
        <v>46</v>
      </c>
      <c r="E106" t="s">
        <v>12</v>
      </c>
      <c r="F106" t="s">
        <v>23</v>
      </c>
      <c r="G106">
        <v>31</v>
      </c>
      <c r="H106">
        <v>1607</v>
      </c>
      <c r="I106" t="s">
        <v>237</v>
      </c>
      <c r="J106" t="s">
        <v>15</v>
      </c>
      <c r="K106">
        <v>1000</v>
      </c>
      <c r="L106" s="7">
        <f t="shared" si="2"/>
        <v>49817</v>
      </c>
      <c r="M106" s="7">
        <f>dataset!$L106-T106</f>
        <v>18817</v>
      </c>
      <c r="N106" s="7">
        <f>dataset!$M106/dataset!$L106*100</f>
        <v>37.772246421904171</v>
      </c>
      <c r="O106" s="25">
        <f>dataset!$K106*dataset!$G106</f>
        <v>31000</v>
      </c>
      <c r="P106"/>
      <c r="T106">
        <f>dataset!$K106*dataset!$G106</f>
        <v>31000</v>
      </c>
    </row>
    <row r="107" spans="1:20" x14ac:dyDescent="0.35">
      <c r="A107" s="2">
        <v>45789</v>
      </c>
      <c r="B107">
        <f t="shared" si="3"/>
        <v>12</v>
      </c>
      <c r="C107" t="s">
        <v>26</v>
      </c>
      <c r="D107" t="s">
        <v>66</v>
      </c>
      <c r="E107" t="s">
        <v>30</v>
      </c>
      <c r="F107" t="s">
        <v>13</v>
      </c>
      <c r="G107">
        <v>39</v>
      </c>
      <c r="H107">
        <v>2097</v>
      </c>
      <c r="I107" t="s">
        <v>238</v>
      </c>
      <c r="J107" t="s">
        <v>25</v>
      </c>
      <c r="K107">
        <v>1150</v>
      </c>
      <c r="L107" s="7">
        <f t="shared" si="2"/>
        <v>81783</v>
      </c>
      <c r="M107" s="7">
        <f>dataset!$L107-T107</f>
        <v>36933</v>
      </c>
      <c r="N107" s="7">
        <f>dataset!$M107/dataset!$L107*100</f>
        <v>45.159752026704822</v>
      </c>
      <c r="O107" s="25">
        <f>dataset!$K107*dataset!$G107</f>
        <v>44850</v>
      </c>
      <c r="P107"/>
      <c r="T107">
        <f>dataset!$K107*dataset!$G107</f>
        <v>44850</v>
      </c>
    </row>
    <row r="108" spans="1:20" x14ac:dyDescent="0.35">
      <c r="A108" s="2">
        <v>45814</v>
      </c>
      <c r="B108">
        <f t="shared" si="3"/>
        <v>6</v>
      </c>
      <c r="C108" t="s">
        <v>26</v>
      </c>
      <c r="D108" t="s">
        <v>21</v>
      </c>
      <c r="E108" t="s">
        <v>54</v>
      </c>
      <c r="F108" t="s">
        <v>18</v>
      </c>
      <c r="G108">
        <v>50</v>
      </c>
      <c r="H108">
        <v>2039</v>
      </c>
      <c r="I108" t="s">
        <v>239</v>
      </c>
      <c r="J108" t="s">
        <v>25</v>
      </c>
      <c r="K108">
        <v>1050</v>
      </c>
      <c r="L108" s="7">
        <f t="shared" si="2"/>
        <v>101950</v>
      </c>
      <c r="M108" s="7">
        <f>dataset!$L108-T108</f>
        <v>49450</v>
      </c>
      <c r="N108" s="7">
        <f>dataset!$M108/dataset!$L108*100</f>
        <v>48.504168710152037</v>
      </c>
      <c r="O108" s="25">
        <f>dataset!$K108*dataset!$G108</f>
        <v>52500</v>
      </c>
      <c r="P108"/>
      <c r="T108">
        <f>dataset!$K108*dataset!$G108</f>
        <v>52500</v>
      </c>
    </row>
    <row r="109" spans="1:20" x14ac:dyDescent="0.35">
      <c r="A109" s="2">
        <v>45815</v>
      </c>
      <c r="B109">
        <f t="shared" si="3"/>
        <v>7</v>
      </c>
      <c r="C109" t="s">
        <v>29</v>
      </c>
      <c r="D109" t="s">
        <v>27</v>
      </c>
      <c r="E109" t="s">
        <v>75</v>
      </c>
      <c r="F109" t="s">
        <v>40</v>
      </c>
      <c r="G109">
        <v>48</v>
      </c>
      <c r="H109">
        <v>2140</v>
      </c>
      <c r="I109" t="s">
        <v>240</v>
      </c>
      <c r="J109" t="s">
        <v>25</v>
      </c>
      <c r="K109">
        <v>1300</v>
      </c>
      <c r="L109" s="7">
        <f t="shared" si="2"/>
        <v>102720</v>
      </c>
      <c r="M109" s="7">
        <f>dataset!$L109-T109</f>
        <v>40320</v>
      </c>
      <c r="N109" s="7">
        <f>dataset!$M109/dataset!$L109*100</f>
        <v>39.252336448598129</v>
      </c>
      <c r="O109" s="25">
        <f>dataset!$K109*dataset!$G109</f>
        <v>62400</v>
      </c>
      <c r="P109"/>
      <c r="T109">
        <f>dataset!$K109*dataset!$G109</f>
        <v>62400</v>
      </c>
    </row>
    <row r="110" spans="1:20" x14ac:dyDescent="0.35">
      <c r="A110" s="2">
        <v>45781</v>
      </c>
      <c r="B110">
        <f t="shared" si="3"/>
        <v>4</v>
      </c>
      <c r="C110" t="s">
        <v>35</v>
      </c>
      <c r="D110" t="s">
        <v>66</v>
      </c>
      <c r="E110" t="s">
        <v>67</v>
      </c>
      <c r="F110" t="s">
        <v>40</v>
      </c>
      <c r="G110">
        <v>6</v>
      </c>
      <c r="H110">
        <v>2185</v>
      </c>
      <c r="I110" t="s">
        <v>241</v>
      </c>
      <c r="J110" t="s">
        <v>15</v>
      </c>
      <c r="K110">
        <v>1200</v>
      </c>
      <c r="L110" s="7">
        <f t="shared" si="2"/>
        <v>13110</v>
      </c>
      <c r="M110" s="7">
        <f>dataset!$L110-T110</f>
        <v>5910</v>
      </c>
      <c r="N110" s="7">
        <f>dataset!$M110/dataset!$L110*100</f>
        <v>45.080091533180777</v>
      </c>
      <c r="O110" s="25">
        <f>dataset!$K110*dataset!$G110</f>
        <v>7200</v>
      </c>
      <c r="P110"/>
      <c r="T110">
        <f>dataset!$K110*dataset!$G110</f>
        <v>7200</v>
      </c>
    </row>
    <row r="111" spans="1:20" x14ac:dyDescent="0.35">
      <c r="A111" s="2">
        <v>45833</v>
      </c>
      <c r="B111">
        <f t="shared" si="3"/>
        <v>25</v>
      </c>
      <c r="C111" t="s">
        <v>10</v>
      </c>
      <c r="D111" t="s">
        <v>46</v>
      </c>
      <c r="E111" t="s">
        <v>64</v>
      </c>
      <c r="F111" t="s">
        <v>59</v>
      </c>
      <c r="G111">
        <v>18</v>
      </c>
      <c r="H111">
        <v>2821</v>
      </c>
      <c r="I111" t="s">
        <v>242</v>
      </c>
      <c r="J111" t="s">
        <v>25</v>
      </c>
      <c r="K111">
        <v>2150</v>
      </c>
      <c r="L111" s="7">
        <f t="shared" si="2"/>
        <v>50778</v>
      </c>
      <c r="M111" s="7">
        <f>dataset!$L111-T111</f>
        <v>12078</v>
      </c>
      <c r="N111" s="7">
        <f>dataset!$M111/dataset!$L111*100</f>
        <v>23.785891527827012</v>
      </c>
      <c r="O111" s="25">
        <f>dataset!$K111*dataset!$G111</f>
        <v>38700</v>
      </c>
      <c r="P111"/>
      <c r="T111">
        <f>dataset!$K111*dataset!$G111</f>
        <v>38700</v>
      </c>
    </row>
    <row r="112" spans="1:20" x14ac:dyDescent="0.35">
      <c r="A112" s="2">
        <v>45791</v>
      </c>
      <c r="B112">
        <f t="shared" si="3"/>
        <v>14</v>
      </c>
      <c r="C112" t="s">
        <v>26</v>
      </c>
      <c r="D112" t="s">
        <v>11</v>
      </c>
      <c r="E112" t="s">
        <v>17</v>
      </c>
      <c r="F112" t="s">
        <v>23</v>
      </c>
      <c r="G112">
        <v>10</v>
      </c>
      <c r="H112">
        <v>1405</v>
      </c>
      <c r="I112" t="s">
        <v>243</v>
      </c>
      <c r="J112" t="s">
        <v>15</v>
      </c>
      <c r="K112">
        <v>1200</v>
      </c>
      <c r="L112" s="7">
        <f t="shared" si="2"/>
        <v>14050</v>
      </c>
      <c r="M112" s="7">
        <f>dataset!$L112-T112</f>
        <v>2050</v>
      </c>
      <c r="N112" s="7">
        <f>dataset!$M112/dataset!$L112*100</f>
        <v>14.590747330960854</v>
      </c>
      <c r="O112" s="25">
        <f>dataset!$K112*dataset!$G112</f>
        <v>12000</v>
      </c>
      <c r="P112"/>
      <c r="T112">
        <f>dataset!$K112*dataset!$G112</f>
        <v>12000</v>
      </c>
    </row>
    <row r="113" spans="1:20" x14ac:dyDescent="0.35">
      <c r="A113" s="2">
        <v>45794</v>
      </c>
      <c r="B113">
        <f t="shared" si="3"/>
        <v>17</v>
      </c>
      <c r="C113" t="s">
        <v>10</v>
      </c>
      <c r="D113" t="s">
        <v>16</v>
      </c>
      <c r="E113" t="s">
        <v>17</v>
      </c>
      <c r="F113" t="s">
        <v>18</v>
      </c>
      <c r="G113">
        <v>46</v>
      </c>
      <c r="H113">
        <v>2535</v>
      </c>
      <c r="I113" t="s">
        <v>19</v>
      </c>
      <c r="J113" t="s">
        <v>15</v>
      </c>
      <c r="K113">
        <v>2100</v>
      </c>
      <c r="L113" s="7">
        <f t="shared" si="2"/>
        <v>116610</v>
      </c>
      <c r="M113" s="7">
        <f>dataset!$L113-T113</f>
        <v>20010</v>
      </c>
      <c r="N113" s="7">
        <f>dataset!$M113/dataset!$L113*100</f>
        <v>17.159763313609467</v>
      </c>
      <c r="O113" s="25">
        <f>dataset!$K113*dataset!$G113</f>
        <v>96600</v>
      </c>
      <c r="P113"/>
      <c r="T113">
        <f>dataset!$K113*dataset!$G113</f>
        <v>96600</v>
      </c>
    </row>
    <row r="114" spans="1:20" x14ac:dyDescent="0.35">
      <c r="A114" s="2">
        <v>45838</v>
      </c>
      <c r="B114">
        <f t="shared" si="3"/>
        <v>30</v>
      </c>
      <c r="C114" t="s">
        <v>29</v>
      </c>
      <c r="D114" t="s">
        <v>21</v>
      </c>
      <c r="E114" t="s">
        <v>30</v>
      </c>
      <c r="F114" t="s">
        <v>59</v>
      </c>
      <c r="G114">
        <v>19</v>
      </c>
      <c r="H114">
        <v>975</v>
      </c>
      <c r="I114" t="s">
        <v>60</v>
      </c>
      <c r="J114" t="s">
        <v>15</v>
      </c>
      <c r="K114">
        <v>700</v>
      </c>
      <c r="L114" s="7">
        <f t="shared" si="2"/>
        <v>18525</v>
      </c>
      <c r="M114" s="7">
        <f>dataset!$L114-T114</f>
        <v>5225</v>
      </c>
      <c r="N114" s="7">
        <f>dataset!$M114/dataset!$L114*100</f>
        <v>28.205128205128204</v>
      </c>
      <c r="O114" s="25">
        <f>dataset!$K114*dataset!$G114</f>
        <v>13300</v>
      </c>
      <c r="P114"/>
      <c r="T114">
        <f>dataset!$K114*dataset!$G114</f>
        <v>13300</v>
      </c>
    </row>
    <row r="115" spans="1:20" x14ac:dyDescent="0.35">
      <c r="A115" s="2">
        <v>45768</v>
      </c>
      <c r="B115">
        <f t="shared" si="3"/>
        <v>21</v>
      </c>
      <c r="C115" t="s">
        <v>26</v>
      </c>
      <c r="D115" t="s">
        <v>36</v>
      </c>
      <c r="E115" t="s">
        <v>39</v>
      </c>
      <c r="F115" t="s">
        <v>37</v>
      </c>
      <c r="G115">
        <v>26</v>
      </c>
      <c r="H115">
        <v>1946</v>
      </c>
      <c r="I115" t="s">
        <v>244</v>
      </c>
      <c r="J115" t="s">
        <v>25</v>
      </c>
      <c r="K115">
        <v>1350</v>
      </c>
      <c r="L115" s="7">
        <f t="shared" si="2"/>
        <v>50596</v>
      </c>
      <c r="M115" s="7">
        <f>dataset!$L115-T115</f>
        <v>15496</v>
      </c>
      <c r="N115" s="7">
        <f>dataset!$M115/dataset!$L115*100</f>
        <v>30.62692702980473</v>
      </c>
      <c r="O115" s="25">
        <f>dataset!$K115*dataset!$G115</f>
        <v>35100</v>
      </c>
      <c r="P115"/>
      <c r="T115">
        <f>dataset!$K115*dataset!$G115</f>
        <v>35100</v>
      </c>
    </row>
    <row r="116" spans="1:20" x14ac:dyDescent="0.35">
      <c r="A116" s="2">
        <v>45756</v>
      </c>
      <c r="B116">
        <f t="shared" si="3"/>
        <v>9</v>
      </c>
      <c r="C116" t="s">
        <v>26</v>
      </c>
      <c r="D116" t="s">
        <v>36</v>
      </c>
      <c r="E116" t="s">
        <v>17</v>
      </c>
      <c r="F116" t="s">
        <v>13</v>
      </c>
      <c r="G116">
        <v>18</v>
      </c>
      <c r="H116">
        <v>2105</v>
      </c>
      <c r="I116" t="s">
        <v>245</v>
      </c>
      <c r="J116" t="s">
        <v>25</v>
      </c>
      <c r="K116">
        <v>1100</v>
      </c>
      <c r="L116" s="7">
        <f t="shared" si="2"/>
        <v>37890</v>
      </c>
      <c r="M116" s="7">
        <f>dataset!$L116-T116</f>
        <v>18090</v>
      </c>
      <c r="N116" s="7">
        <f>dataset!$M116/dataset!$L116*100</f>
        <v>47.743467933491686</v>
      </c>
      <c r="O116" s="25">
        <f>dataset!$K116*dataset!$G116</f>
        <v>19800</v>
      </c>
      <c r="P116"/>
      <c r="T116">
        <f>dataset!$K116*dataset!$G116</f>
        <v>19800</v>
      </c>
    </row>
    <row r="117" spans="1:20" x14ac:dyDescent="0.35">
      <c r="A117" s="2">
        <v>45827</v>
      </c>
      <c r="B117">
        <f t="shared" si="3"/>
        <v>19</v>
      </c>
      <c r="C117" t="s">
        <v>26</v>
      </c>
      <c r="D117" t="s">
        <v>11</v>
      </c>
      <c r="E117" t="s">
        <v>30</v>
      </c>
      <c r="F117" t="s">
        <v>23</v>
      </c>
      <c r="G117">
        <v>32</v>
      </c>
      <c r="H117">
        <v>418</v>
      </c>
      <c r="I117" t="s">
        <v>246</v>
      </c>
      <c r="J117" t="s">
        <v>15</v>
      </c>
      <c r="K117">
        <v>300</v>
      </c>
      <c r="L117" s="7">
        <f t="shared" si="2"/>
        <v>13376</v>
      </c>
      <c r="M117" s="7">
        <f>dataset!$L117-T117</f>
        <v>3776</v>
      </c>
      <c r="N117" s="7">
        <f>dataset!$M117/dataset!$L117*100</f>
        <v>28.229665071770331</v>
      </c>
      <c r="O117" s="25">
        <f>dataset!$K117*dataset!$G117</f>
        <v>9600</v>
      </c>
      <c r="P117"/>
      <c r="T117">
        <f>dataset!$K117*dataset!$G117</f>
        <v>9600</v>
      </c>
    </row>
    <row r="118" spans="1:20" x14ac:dyDescent="0.35">
      <c r="A118" s="2">
        <v>45763</v>
      </c>
      <c r="B118">
        <f t="shared" si="3"/>
        <v>16</v>
      </c>
      <c r="C118" t="s">
        <v>10</v>
      </c>
      <c r="D118" t="s">
        <v>16</v>
      </c>
      <c r="E118" t="s">
        <v>67</v>
      </c>
      <c r="F118" t="s">
        <v>59</v>
      </c>
      <c r="G118">
        <v>28</v>
      </c>
      <c r="H118">
        <v>1565</v>
      </c>
      <c r="I118" t="s">
        <v>247</v>
      </c>
      <c r="J118" t="s">
        <v>15</v>
      </c>
      <c r="K118">
        <v>1200</v>
      </c>
      <c r="L118" s="7">
        <f t="shared" si="2"/>
        <v>43820</v>
      </c>
      <c r="M118" s="7">
        <f>dataset!$L118-T118</f>
        <v>10220</v>
      </c>
      <c r="N118" s="7">
        <f>dataset!$M118/dataset!$L118*100</f>
        <v>23.322683706070286</v>
      </c>
      <c r="O118" s="25">
        <f>dataset!$K118*dataset!$G118</f>
        <v>33600</v>
      </c>
      <c r="P118"/>
      <c r="T118">
        <f>dataset!$K118*dataset!$G118</f>
        <v>33600</v>
      </c>
    </row>
    <row r="119" spans="1:20" x14ac:dyDescent="0.35">
      <c r="A119" s="2">
        <v>45825</v>
      </c>
      <c r="B119">
        <f t="shared" si="3"/>
        <v>17</v>
      </c>
      <c r="C119" t="s">
        <v>35</v>
      </c>
      <c r="D119" t="s">
        <v>21</v>
      </c>
      <c r="E119" t="s">
        <v>75</v>
      </c>
      <c r="F119" t="s">
        <v>18</v>
      </c>
      <c r="G119">
        <v>38</v>
      </c>
      <c r="H119">
        <v>2249</v>
      </c>
      <c r="I119" t="s">
        <v>248</v>
      </c>
      <c r="J119" t="s">
        <v>25</v>
      </c>
      <c r="K119">
        <v>1750</v>
      </c>
      <c r="L119" s="7">
        <f t="shared" si="2"/>
        <v>85462</v>
      </c>
      <c r="M119" s="7">
        <f>dataset!$L119-T119</f>
        <v>18962</v>
      </c>
      <c r="N119" s="7">
        <f>dataset!$M119/dataset!$L119*100</f>
        <v>22.187638950644732</v>
      </c>
      <c r="O119" s="25">
        <f>dataset!$K119*dataset!$G119</f>
        <v>66500</v>
      </c>
      <c r="P119"/>
      <c r="T119">
        <f>dataset!$K119*dataset!$G119</f>
        <v>66500</v>
      </c>
    </row>
    <row r="120" spans="1:20" x14ac:dyDescent="0.35">
      <c r="A120" s="2">
        <v>45749</v>
      </c>
      <c r="B120">
        <f t="shared" si="3"/>
        <v>2</v>
      </c>
      <c r="C120" t="s">
        <v>10</v>
      </c>
      <c r="D120" t="s">
        <v>66</v>
      </c>
      <c r="E120" t="s">
        <v>39</v>
      </c>
      <c r="F120" t="s">
        <v>13</v>
      </c>
      <c r="G120">
        <v>44</v>
      </c>
      <c r="H120">
        <v>1748</v>
      </c>
      <c r="I120" t="s">
        <v>249</v>
      </c>
      <c r="J120" t="s">
        <v>25</v>
      </c>
      <c r="K120">
        <v>1350</v>
      </c>
      <c r="L120" s="7">
        <f t="shared" si="2"/>
        <v>76912</v>
      </c>
      <c r="M120" s="7">
        <f>dataset!$L120-T120</f>
        <v>17512</v>
      </c>
      <c r="N120" s="7">
        <f>dataset!$M120/dataset!$L120*100</f>
        <v>22.768878718535468</v>
      </c>
      <c r="O120" s="25">
        <f>dataset!$K120*dataset!$G120</f>
        <v>59400</v>
      </c>
      <c r="P120"/>
      <c r="T120">
        <f>dataset!$K120*dataset!$G120</f>
        <v>59400</v>
      </c>
    </row>
    <row r="121" spans="1:20" x14ac:dyDescent="0.35">
      <c r="A121" s="2">
        <v>45819</v>
      </c>
      <c r="B121">
        <f t="shared" si="3"/>
        <v>11</v>
      </c>
      <c r="C121" t="s">
        <v>10</v>
      </c>
      <c r="D121" t="s">
        <v>16</v>
      </c>
      <c r="E121" t="s">
        <v>39</v>
      </c>
      <c r="F121" t="s">
        <v>52</v>
      </c>
      <c r="G121">
        <v>34</v>
      </c>
      <c r="H121">
        <v>1542</v>
      </c>
      <c r="I121" t="s">
        <v>250</v>
      </c>
      <c r="J121" t="s">
        <v>25</v>
      </c>
      <c r="K121">
        <v>850</v>
      </c>
      <c r="L121" s="7">
        <f t="shared" si="2"/>
        <v>52428</v>
      </c>
      <c r="M121" s="7">
        <f>dataset!$L121-T121</f>
        <v>23528</v>
      </c>
      <c r="N121" s="7">
        <f>dataset!$M121/dataset!$L121*100</f>
        <v>44.87678339818418</v>
      </c>
      <c r="O121" s="25">
        <f>dataset!$K121*dataset!$G121</f>
        <v>28900</v>
      </c>
      <c r="P121"/>
      <c r="T121">
        <f>dataset!$K121*dataset!$G121</f>
        <v>28900</v>
      </c>
    </row>
    <row r="122" spans="1:20" x14ac:dyDescent="0.35">
      <c r="A122" s="2">
        <v>45763</v>
      </c>
      <c r="B122">
        <f t="shared" si="3"/>
        <v>16</v>
      </c>
      <c r="C122" t="s">
        <v>35</v>
      </c>
      <c r="D122" t="s">
        <v>27</v>
      </c>
      <c r="E122" t="s">
        <v>12</v>
      </c>
      <c r="F122" t="s">
        <v>40</v>
      </c>
      <c r="G122">
        <v>27</v>
      </c>
      <c r="H122">
        <v>1530</v>
      </c>
      <c r="I122" t="s">
        <v>251</v>
      </c>
      <c r="J122" t="s">
        <v>25</v>
      </c>
      <c r="K122">
        <v>1100</v>
      </c>
      <c r="L122" s="7">
        <f t="shared" si="2"/>
        <v>41310</v>
      </c>
      <c r="M122" s="7">
        <f>dataset!$L122-T122</f>
        <v>11610</v>
      </c>
      <c r="N122" s="7">
        <f>dataset!$M122/dataset!$L122*100</f>
        <v>28.104575163398692</v>
      </c>
      <c r="O122" s="25">
        <f>dataset!$K122*dataset!$G122</f>
        <v>29700</v>
      </c>
      <c r="P122"/>
      <c r="T122">
        <f>dataset!$K122*dataset!$G122</f>
        <v>29700</v>
      </c>
    </row>
    <row r="123" spans="1:20" x14ac:dyDescent="0.35">
      <c r="A123" s="2">
        <v>45775</v>
      </c>
      <c r="B123">
        <f t="shared" si="3"/>
        <v>28</v>
      </c>
      <c r="C123" t="s">
        <v>35</v>
      </c>
      <c r="D123" t="s">
        <v>33</v>
      </c>
      <c r="E123" t="s">
        <v>12</v>
      </c>
      <c r="F123" t="s">
        <v>13</v>
      </c>
      <c r="G123">
        <v>20</v>
      </c>
      <c r="H123">
        <v>2754</v>
      </c>
      <c r="I123" t="s">
        <v>252</v>
      </c>
      <c r="J123" t="s">
        <v>25</v>
      </c>
      <c r="K123">
        <v>1950</v>
      </c>
      <c r="L123" s="7">
        <f t="shared" si="2"/>
        <v>55080</v>
      </c>
      <c r="M123" s="7">
        <f>dataset!$L123-T123</f>
        <v>16080</v>
      </c>
      <c r="N123" s="7">
        <f>dataset!$M123/dataset!$L123*100</f>
        <v>29.193899782135073</v>
      </c>
      <c r="O123" s="25">
        <f>dataset!$K123*dataset!$G123</f>
        <v>39000</v>
      </c>
      <c r="P123"/>
      <c r="T123">
        <f>dataset!$K123*dataset!$G123</f>
        <v>39000</v>
      </c>
    </row>
    <row r="124" spans="1:20" x14ac:dyDescent="0.35">
      <c r="A124" s="2">
        <v>45811</v>
      </c>
      <c r="B124">
        <f t="shared" si="3"/>
        <v>3</v>
      </c>
      <c r="C124" t="s">
        <v>29</v>
      </c>
      <c r="D124" t="s">
        <v>11</v>
      </c>
      <c r="E124" t="s">
        <v>22</v>
      </c>
      <c r="F124" t="s">
        <v>40</v>
      </c>
      <c r="G124">
        <v>40</v>
      </c>
      <c r="H124">
        <v>582</v>
      </c>
      <c r="I124" t="s">
        <v>253</v>
      </c>
      <c r="J124" t="s">
        <v>25</v>
      </c>
      <c r="K124">
        <v>350</v>
      </c>
      <c r="L124" s="7">
        <f t="shared" si="2"/>
        <v>23280</v>
      </c>
      <c r="M124" s="7">
        <f>dataset!$L124-T124</f>
        <v>9280</v>
      </c>
      <c r="N124" s="7">
        <f>dataset!$M124/dataset!$L124*100</f>
        <v>39.862542955326461</v>
      </c>
      <c r="O124" s="25">
        <f>dataset!$K124*dataset!$G124</f>
        <v>14000</v>
      </c>
      <c r="P124"/>
      <c r="T124">
        <f>dataset!$K124*dataset!$G124</f>
        <v>14000</v>
      </c>
    </row>
    <row r="125" spans="1:20" x14ac:dyDescent="0.35">
      <c r="A125" s="2">
        <v>45800</v>
      </c>
      <c r="B125">
        <f t="shared" si="3"/>
        <v>23</v>
      </c>
      <c r="C125" t="s">
        <v>20</v>
      </c>
      <c r="D125" t="s">
        <v>33</v>
      </c>
      <c r="E125" t="s">
        <v>22</v>
      </c>
      <c r="F125" t="s">
        <v>56</v>
      </c>
      <c r="G125">
        <v>40</v>
      </c>
      <c r="H125">
        <v>1848</v>
      </c>
      <c r="I125" t="s">
        <v>61</v>
      </c>
      <c r="J125" t="s">
        <v>25</v>
      </c>
      <c r="K125">
        <v>1550</v>
      </c>
      <c r="L125" s="7">
        <f t="shared" si="2"/>
        <v>73920</v>
      </c>
      <c r="M125" s="7">
        <f>dataset!$L125-T125</f>
        <v>11920</v>
      </c>
      <c r="N125" s="7">
        <f>dataset!$M125/dataset!$L125*100</f>
        <v>16.125541125541126</v>
      </c>
      <c r="O125" s="25">
        <f>dataset!$K125*dataset!$G125</f>
        <v>62000</v>
      </c>
      <c r="P125"/>
      <c r="T125">
        <f>dataset!$K125*dataset!$G125</f>
        <v>62000</v>
      </c>
    </row>
    <row r="126" spans="1:20" x14ac:dyDescent="0.35">
      <c r="A126" s="2">
        <v>45778</v>
      </c>
      <c r="B126">
        <f t="shared" si="3"/>
        <v>1</v>
      </c>
      <c r="C126" t="s">
        <v>20</v>
      </c>
      <c r="D126" t="s">
        <v>27</v>
      </c>
      <c r="E126" t="s">
        <v>54</v>
      </c>
      <c r="F126" t="s">
        <v>13</v>
      </c>
      <c r="G126">
        <v>37</v>
      </c>
      <c r="H126">
        <v>2842</v>
      </c>
      <c r="I126" t="s">
        <v>254</v>
      </c>
      <c r="J126" t="s">
        <v>15</v>
      </c>
      <c r="K126">
        <v>2550</v>
      </c>
      <c r="L126" s="7">
        <f t="shared" si="2"/>
        <v>105154</v>
      </c>
      <c r="M126" s="7">
        <f>dataset!$L126-T126</f>
        <v>10804</v>
      </c>
      <c r="N126" s="7">
        <f>dataset!$M126/dataset!$L126*100</f>
        <v>10.274454609429979</v>
      </c>
      <c r="O126" s="25">
        <f>dataset!$K126*dataset!$G126</f>
        <v>94350</v>
      </c>
      <c r="P126"/>
      <c r="T126">
        <f>dataset!$K126*dataset!$G126</f>
        <v>94350</v>
      </c>
    </row>
    <row r="127" spans="1:20" x14ac:dyDescent="0.35">
      <c r="A127" s="2">
        <v>45769</v>
      </c>
      <c r="B127">
        <f t="shared" si="3"/>
        <v>22</v>
      </c>
      <c r="C127" t="s">
        <v>29</v>
      </c>
      <c r="D127" t="s">
        <v>66</v>
      </c>
      <c r="E127" t="s">
        <v>17</v>
      </c>
      <c r="F127" t="s">
        <v>52</v>
      </c>
      <c r="G127">
        <v>19</v>
      </c>
      <c r="H127">
        <v>1873</v>
      </c>
      <c r="I127" t="s">
        <v>255</v>
      </c>
      <c r="J127" t="s">
        <v>25</v>
      </c>
      <c r="K127">
        <v>1450</v>
      </c>
      <c r="L127" s="7">
        <f t="shared" si="2"/>
        <v>35587</v>
      </c>
      <c r="M127" s="7">
        <f>dataset!$L127-T127</f>
        <v>8037</v>
      </c>
      <c r="N127" s="7">
        <f>dataset!$M127/dataset!$L127*100</f>
        <v>22.584089695675388</v>
      </c>
      <c r="O127" s="25">
        <f>dataset!$K127*dataset!$G127</f>
        <v>27550</v>
      </c>
      <c r="P127"/>
      <c r="T127">
        <f>dataset!$K127*dataset!$G127</f>
        <v>27550</v>
      </c>
    </row>
    <row r="128" spans="1:20" x14ac:dyDescent="0.35">
      <c r="A128" s="2">
        <v>45831</v>
      </c>
      <c r="B128">
        <f t="shared" si="3"/>
        <v>23</v>
      </c>
      <c r="C128" t="s">
        <v>29</v>
      </c>
      <c r="D128" t="s">
        <v>27</v>
      </c>
      <c r="E128" t="s">
        <v>67</v>
      </c>
      <c r="F128" t="s">
        <v>52</v>
      </c>
      <c r="G128">
        <v>10</v>
      </c>
      <c r="H128">
        <v>759</v>
      </c>
      <c r="I128" t="s">
        <v>256</v>
      </c>
      <c r="J128" t="s">
        <v>15</v>
      </c>
      <c r="K128">
        <v>550</v>
      </c>
      <c r="L128" s="7">
        <f t="shared" si="2"/>
        <v>7590</v>
      </c>
      <c r="M128" s="7">
        <f>dataset!$L128-T128</f>
        <v>2090</v>
      </c>
      <c r="N128" s="7">
        <f>dataset!$M128/dataset!$L128*100</f>
        <v>27.536231884057973</v>
      </c>
      <c r="O128" s="25">
        <f>dataset!$K128*dataset!$G128</f>
        <v>5500</v>
      </c>
      <c r="P128"/>
      <c r="T128">
        <f>dataset!$K128*dataset!$G128</f>
        <v>5500</v>
      </c>
    </row>
    <row r="129" spans="1:20" x14ac:dyDescent="0.35">
      <c r="A129" s="2">
        <v>45785</v>
      </c>
      <c r="B129">
        <f t="shared" si="3"/>
        <v>8</v>
      </c>
      <c r="C129" t="s">
        <v>20</v>
      </c>
      <c r="D129" t="s">
        <v>46</v>
      </c>
      <c r="E129" t="s">
        <v>42</v>
      </c>
      <c r="F129" t="s">
        <v>56</v>
      </c>
      <c r="G129">
        <v>26</v>
      </c>
      <c r="H129">
        <v>1098</v>
      </c>
      <c r="I129" t="s">
        <v>257</v>
      </c>
      <c r="J129" t="s">
        <v>15</v>
      </c>
      <c r="K129">
        <v>650</v>
      </c>
      <c r="L129" s="7">
        <f t="shared" si="2"/>
        <v>28548</v>
      </c>
      <c r="M129" s="7">
        <f>dataset!$L129-T129</f>
        <v>11648</v>
      </c>
      <c r="N129" s="7">
        <f>dataset!$M129/dataset!$L129*100</f>
        <v>40.801457194899818</v>
      </c>
      <c r="O129" s="25">
        <f>dataset!$K129*dataset!$G129</f>
        <v>16900</v>
      </c>
      <c r="P129"/>
      <c r="T129">
        <f>dataset!$K129*dataset!$G129</f>
        <v>16900</v>
      </c>
    </row>
    <row r="130" spans="1:20" x14ac:dyDescent="0.35">
      <c r="A130" s="2">
        <v>45801</v>
      </c>
      <c r="B130">
        <f t="shared" si="3"/>
        <v>24</v>
      </c>
      <c r="C130" t="s">
        <v>35</v>
      </c>
      <c r="D130" t="s">
        <v>33</v>
      </c>
      <c r="E130" t="s">
        <v>22</v>
      </c>
      <c r="F130" t="s">
        <v>59</v>
      </c>
      <c r="G130">
        <v>31</v>
      </c>
      <c r="H130">
        <v>661</v>
      </c>
      <c r="I130" t="s">
        <v>258</v>
      </c>
      <c r="J130" t="s">
        <v>15</v>
      </c>
      <c r="K130">
        <v>600</v>
      </c>
      <c r="L130" s="7">
        <f t="shared" ref="L130:L193" si="4">G130*H130</f>
        <v>20491</v>
      </c>
      <c r="M130" s="7">
        <f>dataset!$L130-T130</f>
        <v>1891</v>
      </c>
      <c r="N130" s="7">
        <f>dataset!$M130/dataset!$L130*100</f>
        <v>9.2284417549167923</v>
      </c>
      <c r="O130" s="25">
        <f>dataset!$K130*dataset!$G130</f>
        <v>18600</v>
      </c>
      <c r="P130"/>
      <c r="T130">
        <f>dataset!$K130*dataset!$G130</f>
        <v>18600</v>
      </c>
    </row>
    <row r="131" spans="1:20" x14ac:dyDescent="0.35">
      <c r="A131" s="2">
        <v>45782</v>
      </c>
      <c r="B131">
        <f t="shared" ref="B131:B194" si="5">DAY(A131)</f>
        <v>5</v>
      </c>
      <c r="C131" t="s">
        <v>10</v>
      </c>
      <c r="D131" t="s">
        <v>66</v>
      </c>
      <c r="E131" t="s">
        <v>42</v>
      </c>
      <c r="F131" t="s">
        <v>56</v>
      </c>
      <c r="G131">
        <v>39</v>
      </c>
      <c r="H131">
        <v>2949</v>
      </c>
      <c r="I131" t="s">
        <v>259</v>
      </c>
      <c r="J131" t="s">
        <v>25</v>
      </c>
      <c r="K131">
        <v>1950</v>
      </c>
      <c r="L131" s="7">
        <f t="shared" si="4"/>
        <v>115011</v>
      </c>
      <c r="M131" s="7">
        <f>dataset!$L131-T131</f>
        <v>38961</v>
      </c>
      <c r="N131" s="7">
        <f>dataset!$M131/dataset!$L131*100</f>
        <v>33.875890132248223</v>
      </c>
      <c r="O131" s="25">
        <f>dataset!$K131*dataset!$G131</f>
        <v>76050</v>
      </c>
      <c r="P131"/>
      <c r="T131">
        <f>dataset!$K131*dataset!$G131</f>
        <v>76050</v>
      </c>
    </row>
    <row r="132" spans="1:20" x14ac:dyDescent="0.35">
      <c r="A132" s="2">
        <v>45809</v>
      </c>
      <c r="B132">
        <f t="shared" si="5"/>
        <v>1</v>
      </c>
      <c r="C132" t="s">
        <v>10</v>
      </c>
      <c r="D132" t="s">
        <v>33</v>
      </c>
      <c r="E132" t="s">
        <v>12</v>
      </c>
      <c r="F132" t="s">
        <v>40</v>
      </c>
      <c r="G132">
        <v>8</v>
      </c>
      <c r="H132">
        <v>2657</v>
      </c>
      <c r="I132" t="s">
        <v>260</v>
      </c>
      <c r="J132" t="s">
        <v>25</v>
      </c>
      <c r="K132">
        <v>1350</v>
      </c>
      <c r="L132" s="7">
        <f t="shared" si="4"/>
        <v>21256</v>
      </c>
      <c r="M132" s="7">
        <f>dataset!$L132-T132</f>
        <v>10456</v>
      </c>
      <c r="N132" s="7">
        <f>dataset!$M132/dataset!$L132*100</f>
        <v>49.190816710575838</v>
      </c>
      <c r="O132" s="25">
        <f>dataset!$K132*dataset!$G132</f>
        <v>10800</v>
      </c>
      <c r="P132"/>
      <c r="T132">
        <f>dataset!$K132*dataset!$G132</f>
        <v>10800</v>
      </c>
    </row>
    <row r="133" spans="1:20" x14ac:dyDescent="0.35">
      <c r="A133" s="2">
        <v>45766</v>
      </c>
      <c r="B133">
        <f t="shared" si="5"/>
        <v>19</v>
      </c>
      <c r="C133" t="s">
        <v>29</v>
      </c>
      <c r="D133" t="s">
        <v>11</v>
      </c>
      <c r="E133" t="s">
        <v>22</v>
      </c>
      <c r="F133" t="s">
        <v>59</v>
      </c>
      <c r="G133">
        <v>30</v>
      </c>
      <c r="H133">
        <v>495</v>
      </c>
      <c r="I133" t="s">
        <v>261</v>
      </c>
      <c r="J133" t="s">
        <v>25</v>
      </c>
      <c r="K133">
        <v>350</v>
      </c>
      <c r="L133" s="7">
        <f t="shared" si="4"/>
        <v>14850</v>
      </c>
      <c r="M133" s="7">
        <f>dataset!$L133-T133</f>
        <v>4350</v>
      </c>
      <c r="N133" s="7">
        <f>dataset!$M133/dataset!$L133*100</f>
        <v>29.292929292929294</v>
      </c>
      <c r="O133" s="25">
        <f>dataset!$K133*dataset!$G133</f>
        <v>10500</v>
      </c>
      <c r="P133"/>
      <c r="T133">
        <f>dataset!$K133*dataset!$G133</f>
        <v>10500</v>
      </c>
    </row>
    <row r="134" spans="1:20" x14ac:dyDescent="0.35">
      <c r="A134" s="2">
        <v>45768</v>
      </c>
      <c r="B134">
        <f t="shared" si="5"/>
        <v>21</v>
      </c>
      <c r="C134" t="s">
        <v>10</v>
      </c>
      <c r="D134" t="s">
        <v>16</v>
      </c>
      <c r="E134" t="s">
        <v>17</v>
      </c>
      <c r="F134" t="s">
        <v>52</v>
      </c>
      <c r="G134">
        <v>27</v>
      </c>
      <c r="H134">
        <v>1977</v>
      </c>
      <c r="I134" t="s">
        <v>262</v>
      </c>
      <c r="J134" t="s">
        <v>15</v>
      </c>
      <c r="K134">
        <v>1050</v>
      </c>
      <c r="L134" s="7">
        <f t="shared" si="4"/>
        <v>53379</v>
      </c>
      <c r="M134" s="7">
        <f>dataset!$L134-T134</f>
        <v>25029</v>
      </c>
      <c r="N134" s="7">
        <f>dataset!$M134/dataset!$L134*100</f>
        <v>46.889226100151745</v>
      </c>
      <c r="O134" s="25">
        <f>dataset!$K134*dataset!$G134</f>
        <v>28350</v>
      </c>
      <c r="P134"/>
      <c r="T134">
        <f>dataset!$K134*dataset!$G134</f>
        <v>28350</v>
      </c>
    </row>
    <row r="135" spans="1:20" x14ac:dyDescent="0.35">
      <c r="A135" s="2">
        <v>45759</v>
      </c>
      <c r="B135">
        <f t="shared" si="5"/>
        <v>12</v>
      </c>
      <c r="C135" t="s">
        <v>29</v>
      </c>
      <c r="D135" t="s">
        <v>27</v>
      </c>
      <c r="E135" t="s">
        <v>67</v>
      </c>
      <c r="F135" t="s">
        <v>23</v>
      </c>
      <c r="G135">
        <v>33</v>
      </c>
      <c r="H135">
        <v>707</v>
      </c>
      <c r="I135" t="s">
        <v>263</v>
      </c>
      <c r="J135" t="s">
        <v>15</v>
      </c>
      <c r="K135">
        <v>350</v>
      </c>
      <c r="L135" s="7">
        <f t="shared" si="4"/>
        <v>23331</v>
      </c>
      <c r="M135" s="7">
        <f>dataset!$L135-T135</f>
        <v>11781</v>
      </c>
      <c r="N135" s="7">
        <f>dataset!$M135/dataset!$L135*100</f>
        <v>50.495049504950494</v>
      </c>
      <c r="O135" s="25">
        <f>dataset!$K135*dataset!$G135</f>
        <v>11550</v>
      </c>
      <c r="P135"/>
      <c r="T135">
        <f>dataset!$K135*dataset!$G135</f>
        <v>11550</v>
      </c>
    </row>
    <row r="136" spans="1:20" x14ac:dyDescent="0.35">
      <c r="A136" s="2">
        <v>45836</v>
      </c>
      <c r="B136">
        <f t="shared" si="5"/>
        <v>28</v>
      </c>
      <c r="C136" t="s">
        <v>10</v>
      </c>
      <c r="D136" t="s">
        <v>33</v>
      </c>
      <c r="E136" t="s">
        <v>22</v>
      </c>
      <c r="F136" t="s">
        <v>13</v>
      </c>
      <c r="G136">
        <v>41</v>
      </c>
      <c r="H136">
        <v>1809</v>
      </c>
      <c r="I136" t="s">
        <v>62</v>
      </c>
      <c r="J136" t="s">
        <v>15</v>
      </c>
      <c r="K136">
        <v>1100</v>
      </c>
      <c r="L136" s="7">
        <f t="shared" si="4"/>
        <v>74169</v>
      </c>
      <c r="M136" s="7">
        <f>dataset!$L136-T136</f>
        <v>29069</v>
      </c>
      <c r="N136" s="7">
        <f>dataset!$M136/dataset!$L136*100</f>
        <v>39.192924267551135</v>
      </c>
      <c r="O136" s="25">
        <f>dataset!$K136*dataset!$G136</f>
        <v>45100</v>
      </c>
      <c r="P136"/>
      <c r="T136">
        <f>dataset!$K136*dataset!$G136</f>
        <v>45100</v>
      </c>
    </row>
    <row r="137" spans="1:20" x14ac:dyDescent="0.35">
      <c r="A137" s="2">
        <v>45820</v>
      </c>
      <c r="B137">
        <f t="shared" si="5"/>
        <v>12</v>
      </c>
      <c r="C137" t="s">
        <v>20</v>
      </c>
      <c r="D137" t="s">
        <v>21</v>
      </c>
      <c r="E137" t="s">
        <v>39</v>
      </c>
      <c r="F137" t="s">
        <v>52</v>
      </c>
      <c r="G137">
        <v>16</v>
      </c>
      <c r="H137">
        <v>1392</v>
      </c>
      <c r="I137" t="s">
        <v>264</v>
      </c>
      <c r="J137" t="s">
        <v>15</v>
      </c>
      <c r="K137">
        <v>1150</v>
      </c>
      <c r="L137" s="7">
        <f t="shared" si="4"/>
        <v>22272</v>
      </c>
      <c r="M137" s="7">
        <f>dataset!$L137-T137</f>
        <v>3872</v>
      </c>
      <c r="N137" s="7">
        <f>dataset!$M137/dataset!$L137*100</f>
        <v>17.385057471264368</v>
      </c>
      <c r="O137" s="25">
        <f>dataset!$K137*dataset!$G137</f>
        <v>18400</v>
      </c>
      <c r="P137"/>
      <c r="T137">
        <f>dataset!$K137*dataset!$G137</f>
        <v>18400</v>
      </c>
    </row>
    <row r="138" spans="1:20" x14ac:dyDescent="0.35">
      <c r="A138" s="2">
        <v>45799</v>
      </c>
      <c r="B138">
        <f t="shared" si="5"/>
        <v>22</v>
      </c>
      <c r="C138" t="s">
        <v>29</v>
      </c>
      <c r="D138" t="s">
        <v>27</v>
      </c>
      <c r="E138" t="s">
        <v>39</v>
      </c>
      <c r="F138" t="s">
        <v>18</v>
      </c>
      <c r="G138">
        <v>37</v>
      </c>
      <c r="H138">
        <v>2907</v>
      </c>
      <c r="I138" t="s">
        <v>265</v>
      </c>
      <c r="J138" t="s">
        <v>25</v>
      </c>
      <c r="K138">
        <v>2150</v>
      </c>
      <c r="L138" s="7">
        <f t="shared" si="4"/>
        <v>107559</v>
      </c>
      <c r="M138" s="7">
        <f>dataset!$L138-T138</f>
        <v>28009</v>
      </c>
      <c r="N138" s="7">
        <f>dataset!$M138/dataset!$L138*100</f>
        <v>26.040591675266601</v>
      </c>
      <c r="O138" s="25">
        <f>dataset!$K138*dataset!$G138</f>
        <v>79550</v>
      </c>
      <c r="P138"/>
      <c r="T138">
        <f>dataset!$K138*dataset!$G138</f>
        <v>79550</v>
      </c>
    </row>
    <row r="139" spans="1:20" x14ac:dyDescent="0.35">
      <c r="A139" s="2">
        <v>45819</v>
      </c>
      <c r="B139">
        <f t="shared" si="5"/>
        <v>11</v>
      </c>
      <c r="C139" t="s">
        <v>20</v>
      </c>
      <c r="D139" t="s">
        <v>21</v>
      </c>
      <c r="E139" t="s">
        <v>75</v>
      </c>
      <c r="F139" t="s">
        <v>59</v>
      </c>
      <c r="G139">
        <v>49</v>
      </c>
      <c r="H139">
        <v>1199</v>
      </c>
      <c r="I139" t="s">
        <v>266</v>
      </c>
      <c r="J139" t="s">
        <v>25</v>
      </c>
      <c r="K139">
        <v>950</v>
      </c>
      <c r="L139" s="7">
        <f t="shared" si="4"/>
        <v>58751</v>
      </c>
      <c r="M139" s="7">
        <f>dataset!$L139-T139</f>
        <v>12201</v>
      </c>
      <c r="N139" s="7">
        <f>dataset!$M139/dataset!$L139*100</f>
        <v>20.767306088407008</v>
      </c>
      <c r="O139" s="25">
        <f>dataset!$K139*dataset!$G139</f>
        <v>46550</v>
      </c>
      <c r="P139"/>
      <c r="T139">
        <f>dataset!$K139*dataset!$G139</f>
        <v>46550</v>
      </c>
    </row>
    <row r="140" spans="1:20" x14ac:dyDescent="0.35">
      <c r="A140" s="2">
        <v>45807</v>
      </c>
      <c r="B140">
        <f t="shared" si="5"/>
        <v>30</v>
      </c>
      <c r="C140" t="s">
        <v>26</v>
      </c>
      <c r="D140" t="s">
        <v>36</v>
      </c>
      <c r="E140" t="s">
        <v>42</v>
      </c>
      <c r="F140" t="s">
        <v>47</v>
      </c>
      <c r="G140">
        <v>29</v>
      </c>
      <c r="H140">
        <v>690</v>
      </c>
      <c r="I140" t="s">
        <v>267</v>
      </c>
      <c r="J140" t="s">
        <v>15</v>
      </c>
      <c r="K140">
        <v>400</v>
      </c>
      <c r="L140" s="7">
        <f t="shared" si="4"/>
        <v>20010</v>
      </c>
      <c r="M140" s="7">
        <f>dataset!$L140-T140</f>
        <v>8410</v>
      </c>
      <c r="N140" s="7">
        <f>dataset!$M140/dataset!$L140*100</f>
        <v>42.028985507246375</v>
      </c>
      <c r="O140" s="25">
        <f>dataset!$K140*dataset!$G140</f>
        <v>11600</v>
      </c>
      <c r="P140"/>
      <c r="T140">
        <f>dataset!$K140*dataset!$G140</f>
        <v>11600</v>
      </c>
    </row>
    <row r="141" spans="1:20" x14ac:dyDescent="0.35">
      <c r="A141" s="2">
        <v>45777</v>
      </c>
      <c r="B141">
        <f t="shared" si="5"/>
        <v>30</v>
      </c>
      <c r="C141" t="s">
        <v>35</v>
      </c>
      <c r="D141" t="s">
        <v>16</v>
      </c>
      <c r="E141" t="s">
        <v>17</v>
      </c>
      <c r="F141" t="s">
        <v>56</v>
      </c>
      <c r="G141">
        <v>31</v>
      </c>
      <c r="H141">
        <v>1371</v>
      </c>
      <c r="I141" t="s">
        <v>268</v>
      </c>
      <c r="J141" t="s">
        <v>25</v>
      </c>
      <c r="K141">
        <v>1100</v>
      </c>
      <c r="L141" s="7">
        <f t="shared" si="4"/>
        <v>42501</v>
      </c>
      <c r="M141" s="7">
        <f>dataset!$L141-T141</f>
        <v>8401</v>
      </c>
      <c r="N141" s="7">
        <f>dataset!$M141/dataset!$L141*100</f>
        <v>19.76659372720642</v>
      </c>
      <c r="O141" s="25">
        <f>dataset!$K141*dataset!$G141</f>
        <v>34100</v>
      </c>
      <c r="P141"/>
      <c r="T141">
        <f>dataset!$K141*dataset!$G141</f>
        <v>34100</v>
      </c>
    </row>
    <row r="142" spans="1:20" x14ac:dyDescent="0.35">
      <c r="A142" s="2">
        <v>45796</v>
      </c>
      <c r="B142">
        <f t="shared" si="5"/>
        <v>19</v>
      </c>
      <c r="C142" t="s">
        <v>20</v>
      </c>
      <c r="D142" t="s">
        <v>66</v>
      </c>
      <c r="E142" t="s">
        <v>67</v>
      </c>
      <c r="F142" t="s">
        <v>52</v>
      </c>
      <c r="G142">
        <v>25</v>
      </c>
      <c r="H142">
        <v>1368</v>
      </c>
      <c r="I142" t="s">
        <v>269</v>
      </c>
      <c r="J142" t="s">
        <v>25</v>
      </c>
      <c r="K142">
        <v>900</v>
      </c>
      <c r="L142" s="7">
        <f t="shared" si="4"/>
        <v>34200</v>
      </c>
      <c r="M142" s="7">
        <f>dataset!$L142-T142</f>
        <v>11700</v>
      </c>
      <c r="N142" s="7">
        <f>dataset!$M142/dataset!$L142*100</f>
        <v>34.210526315789473</v>
      </c>
      <c r="O142" s="25">
        <f>dataset!$K142*dataset!$G142</f>
        <v>22500</v>
      </c>
      <c r="P142"/>
      <c r="T142">
        <f>dataset!$K142*dataset!$G142</f>
        <v>22500</v>
      </c>
    </row>
    <row r="143" spans="1:20" x14ac:dyDescent="0.35">
      <c r="A143" s="2">
        <v>45777</v>
      </c>
      <c r="B143">
        <f t="shared" si="5"/>
        <v>30</v>
      </c>
      <c r="C143" t="s">
        <v>20</v>
      </c>
      <c r="D143" t="s">
        <v>16</v>
      </c>
      <c r="E143" t="s">
        <v>39</v>
      </c>
      <c r="F143" t="s">
        <v>47</v>
      </c>
      <c r="G143">
        <v>43</v>
      </c>
      <c r="H143">
        <v>1390</v>
      </c>
      <c r="I143" t="s">
        <v>270</v>
      </c>
      <c r="J143" t="s">
        <v>25</v>
      </c>
      <c r="K143">
        <v>850</v>
      </c>
      <c r="L143" s="7">
        <f t="shared" si="4"/>
        <v>59770</v>
      </c>
      <c r="M143" s="7">
        <f>dataset!$L143-T143</f>
        <v>23220</v>
      </c>
      <c r="N143" s="7">
        <f>dataset!$M143/dataset!$L143*100</f>
        <v>38.848920863309353</v>
      </c>
      <c r="O143" s="25">
        <f>dataset!$K143*dataset!$G143</f>
        <v>36550</v>
      </c>
      <c r="P143"/>
      <c r="T143">
        <f>dataset!$K143*dataset!$G143</f>
        <v>36550</v>
      </c>
    </row>
    <row r="144" spans="1:20" x14ac:dyDescent="0.35">
      <c r="A144" s="2">
        <v>45825</v>
      </c>
      <c r="B144">
        <f t="shared" si="5"/>
        <v>17</v>
      </c>
      <c r="C144" t="s">
        <v>29</v>
      </c>
      <c r="D144" t="s">
        <v>16</v>
      </c>
      <c r="E144" t="s">
        <v>54</v>
      </c>
      <c r="F144" t="s">
        <v>59</v>
      </c>
      <c r="G144">
        <v>16</v>
      </c>
      <c r="H144">
        <v>844</v>
      </c>
      <c r="I144" t="s">
        <v>271</v>
      </c>
      <c r="J144" t="s">
        <v>15</v>
      </c>
      <c r="K144">
        <v>450</v>
      </c>
      <c r="L144" s="7">
        <f t="shared" si="4"/>
        <v>13504</v>
      </c>
      <c r="M144" s="7">
        <f>dataset!$L144-T144</f>
        <v>6304</v>
      </c>
      <c r="N144" s="7">
        <f>dataset!$M144/dataset!$L144*100</f>
        <v>46.682464454976305</v>
      </c>
      <c r="O144" s="25">
        <f>dataset!$K144*dataset!$G144</f>
        <v>7200</v>
      </c>
      <c r="P144"/>
      <c r="T144">
        <f>dataset!$K144*dataset!$G144</f>
        <v>7200</v>
      </c>
    </row>
    <row r="145" spans="1:20" x14ac:dyDescent="0.35">
      <c r="A145" s="2">
        <v>45782</v>
      </c>
      <c r="B145">
        <f t="shared" si="5"/>
        <v>5</v>
      </c>
      <c r="C145" t="s">
        <v>26</v>
      </c>
      <c r="D145" t="s">
        <v>21</v>
      </c>
      <c r="E145" t="s">
        <v>64</v>
      </c>
      <c r="F145" t="s">
        <v>47</v>
      </c>
      <c r="G145">
        <v>46</v>
      </c>
      <c r="H145">
        <v>2301</v>
      </c>
      <c r="I145" t="s">
        <v>272</v>
      </c>
      <c r="J145" t="s">
        <v>25</v>
      </c>
      <c r="K145">
        <v>2000</v>
      </c>
      <c r="L145" s="7">
        <f t="shared" si="4"/>
        <v>105846</v>
      </c>
      <c r="M145" s="7">
        <f>dataset!$L145-T145</f>
        <v>13846</v>
      </c>
      <c r="N145" s="7">
        <f>dataset!$M145/dataset!$L145*100</f>
        <v>13.081269013472404</v>
      </c>
      <c r="O145" s="25">
        <f>dataset!$K145*dataset!$G145</f>
        <v>92000</v>
      </c>
      <c r="P145"/>
      <c r="T145">
        <f>dataset!$K145*dataset!$G145</f>
        <v>92000</v>
      </c>
    </row>
    <row r="146" spans="1:20" x14ac:dyDescent="0.35">
      <c r="A146" s="2">
        <v>45819</v>
      </c>
      <c r="B146">
        <f t="shared" si="5"/>
        <v>11</v>
      </c>
      <c r="C146" t="s">
        <v>26</v>
      </c>
      <c r="D146" t="s">
        <v>16</v>
      </c>
      <c r="E146" t="s">
        <v>12</v>
      </c>
      <c r="F146" t="s">
        <v>31</v>
      </c>
      <c r="G146">
        <v>23</v>
      </c>
      <c r="H146">
        <v>1925</v>
      </c>
      <c r="I146" t="s">
        <v>273</v>
      </c>
      <c r="J146" t="s">
        <v>15</v>
      </c>
      <c r="K146">
        <v>1300</v>
      </c>
      <c r="L146" s="7">
        <f t="shared" si="4"/>
        <v>44275</v>
      </c>
      <c r="M146" s="7">
        <f>dataset!$L146-T146</f>
        <v>14375</v>
      </c>
      <c r="N146" s="7">
        <f>dataset!$M146/dataset!$L146*100</f>
        <v>32.467532467532465</v>
      </c>
      <c r="O146" s="25">
        <f>dataset!$K146*dataset!$G146</f>
        <v>29900</v>
      </c>
      <c r="P146"/>
      <c r="T146">
        <f>dataset!$K146*dataset!$G146</f>
        <v>29900</v>
      </c>
    </row>
    <row r="147" spans="1:20" x14ac:dyDescent="0.35">
      <c r="A147" s="2">
        <v>45817</v>
      </c>
      <c r="B147">
        <f t="shared" si="5"/>
        <v>9</v>
      </c>
      <c r="C147" t="s">
        <v>29</v>
      </c>
      <c r="D147" t="s">
        <v>11</v>
      </c>
      <c r="E147" t="s">
        <v>17</v>
      </c>
      <c r="F147" t="s">
        <v>37</v>
      </c>
      <c r="G147">
        <v>46</v>
      </c>
      <c r="H147">
        <v>1066</v>
      </c>
      <c r="I147" t="s">
        <v>63</v>
      </c>
      <c r="J147" t="s">
        <v>15</v>
      </c>
      <c r="K147">
        <v>750</v>
      </c>
      <c r="L147" s="7">
        <f t="shared" si="4"/>
        <v>49036</v>
      </c>
      <c r="M147" s="7">
        <f>dataset!$L147-T147</f>
        <v>14536</v>
      </c>
      <c r="N147" s="7">
        <f>dataset!$M147/dataset!$L147*100</f>
        <v>29.643527204502814</v>
      </c>
      <c r="O147" s="25">
        <f>dataset!$K147*dataset!$G147</f>
        <v>34500</v>
      </c>
      <c r="P147"/>
      <c r="T147">
        <f>dataset!$K147*dataset!$G147</f>
        <v>34500</v>
      </c>
    </row>
    <row r="148" spans="1:20" x14ac:dyDescent="0.35">
      <c r="A148" s="2">
        <v>45763</v>
      </c>
      <c r="B148">
        <f t="shared" si="5"/>
        <v>16</v>
      </c>
      <c r="C148" t="s">
        <v>20</v>
      </c>
      <c r="D148" t="s">
        <v>33</v>
      </c>
      <c r="E148" t="s">
        <v>42</v>
      </c>
      <c r="F148" t="s">
        <v>23</v>
      </c>
      <c r="G148">
        <v>42</v>
      </c>
      <c r="H148">
        <v>1914</v>
      </c>
      <c r="I148" t="s">
        <v>274</v>
      </c>
      <c r="J148" t="s">
        <v>25</v>
      </c>
      <c r="K148">
        <v>1250</v>
      </c>
      <c r="L148" s="7">
        <f t="shared" si="4"/>
        <v>80388</v>
      </c>
      <c r="M148" s="7">
        <f>dataset!$L148-T148</f>
        <v>27888</v>
      </c>
      <c r="N148" s="7">
        <f>dataset!$M148/dataset!$L148*100</f>
        <v>34.691745036572627</v>
      </c>
      <c r="O148" s="25">
        <f>dataset!$K148*dataset!$G148</f>
        <v>52500</v>
      </c>
      <c r="P148"/>
      <c r="T148">
        <f>dataset!$K148*dataset!$G148</f>
        <v>52500</v>
      </c>
    </row>
    <row r="149" spans="1:20" x14ac:dyDescent="0.35">
      <c r="A149" s="2">
        <v>45792</v>
      </c>
      <c r="B149">
        <f t="shared" si="5"/>
        <v>15</v>
      </c>
      <c r="C149" t="s">
        <v>35</v>
      </c>
      <c r="D149" t="s">
        <v>36</v>
      </c>
      <c r="E149" t="s">
        <v>42</v>
      </c>
      <c r="F149" t="s">
        <v>13</v>
      </c>
      <c r="G149">
        <v>11</v>
      </c>
      <c r="H149">
        <v>2028</v>
      </c>
      <c r="I149" t="s">
        <v>275</v>
      </c>
      <c r="J149" t="s">
        <v>15</v>
      </c>
      <c r="K149">
        <v>1350</v>
      </c>
      <c r="L149" s="7">
        <f t="shared" si="4"/>
        <v>22308</v>
      </c>
      <c r="M149" s="7">
        <f>dataset!$L149-T149</f>
        <v>7458</v>
      </c>
      <c r="N149" s="7">
        <f>dataset!$M149/dataset!$L149*100</f>
        <v>33.431952662721891</v>
      </c>
      <c r="O149" s="25">
        <f>dataset!$K149*dataset!$G149</f>
        <v>14850</v>
      </c>
      <c r="P149"/>
      <c r="T149">
        <f>dataset!$K149*dataset!$G149</f>
        <v>14850</v>
      </c>
    </row>
    <row r="150" spans="1:20" x14ac:dyDescent="0.35">
      <c r="A150" s="2">
        <v>45777</v>
      </c>
      <c r="B150">
        <f t="shared" si="5"/>
        <v>30</v>
      </c>
      <c r="C150" t="s">
        <v>29</v>
      </c>
      <c r="D150" t="s">
        <v>11</v>
      </c>
      <c r="E150" t="s">
        <v>17</v>
      </c>
      <c r="F150" t="s">
        <v>37</v>
      </c>
      <c r="G150">
        <v>48</v>
      </c>
      <c r="H150">
        <v>869</v>
      </c>
      <c r="I150" t="s">
        <v>276</v>
      </c>
      <c r="J150" t="s">
        <v>15</v>
      </c>
      <c r="K150">
        <v>600</v>
      </c>
      <c r="L150" s="7">
        <f t="shared" si="4"/>
        <v>41712</v>
      </c>
      <c r="M150" s="7">
        <f>dataset!$L150-T150</f>
        <v>12912</v>
      </c>
      <c r="N150" s="7">
        <f>dataset!$M150/dataset!$L150*100</f>
        <v>30.955120828538551</v>
      </c>
      <c r="O150" s="25">
        <f>dataset!$K150*dataset!$G150</f>
        <v>28800</v>
      </c>
      <c r="P150"/>
      <c r="T150">
        <f>dataset!$K150*dataset!$G150</f>
        <v>28800</v>
      </c>
    </row>
    <row r="151" spans="1:20" x14ac:dyDescent="0.35">
      <c r="A151" s="2">
        <v>45811</v>
      </c>
      <c r="B151">
        <f t="shared" si="5"/>
        <v>3</v>
      </c>
      <c r="C151" t="s">
        <v>20</v>
      </c>
      <c r="D151" t="s">
        <v>16</v>
      </c>
      <c r="E151" t="s">
        <v>17</v>
      </c>
      <c r="F151" t="s">
        <v>56</v>
      </c>
      <c r="G151">
        <v>36</v>
      </c>
      <c r="H151">
        <v>907</v>
      </c>
      <c r="I151" t="s">
        <v>277</v>
      </c>
      <c r="J151" t="s">
        <v>25</v>
      </c>
      <c r="K151">
        <v>650</v>
      </c>
      <c r="L151" s="7">
        <f t="shared" si="4"/>
        <v>32652</v>
      </c>
      <c r="M151" s="7">
        <f>dataset!$L151-T151</f>
        <v>9252</v>
      </c>
      <c r="N151" s="7">
        <f>dataset!$M151/dataset!$L151*100</f>
        <v>28.335170893054023</v>
      </c>
      <c r="O151" s="25">
        <f>dataset!$K151*dataset!$G151</f>
        <v>23400</v>
      </c>
      <c r="P151"/>
      <c r="T151">
        <f>dataset!$K151*dataset!$G151</f>
        <v>23400</v>
      </c>
    </row>
    <row r="152" spans="1:20" x14ac:dyDescent="0.35">
      <c r="A152" s="2">
        <v>45786</v>
      </c>
      <c r="B152">
        <f t="shared" si="5"/>
        <v>9</v>
      </c>
      <c r="C152" t="s">
        <v>35</v>
      </c>
      <c r="D152" t="s">
        <v>27</v>
      </c>
      <c r="E152" t="s">
        <v>64</v>
      </c>
      <c r="F152" t="s">
        <v>23</v>
      </c>
      <c r="G152">
        <v>47</v>
      </c>
      <c r="H152">
        <v>1427</v>
      </c>
      <c r="I152" t="s">
        <v>278</v>
      </c>
      <c r="J152" t="s">
        <v>15</v>
      </c>
      <c r="K152">
        <v>1150</v>
      </c>
      <c r="L152" s="7">
        <f t="shared" si="4"/>
        <v>67069</v>
      </c>
      <c r="M152" s="7">
        <f>dataset!$L152-T152</f>
        <v>13019</v>
      </c>
      <c r="N152" s="7">
        <f>dataset!$M152/dataset!$L152*100</f>
        <v>19.411352487736512</v>
      </c>
      <c r="O152" s="25">
        <f>dataset!$K152*dataset!$G152</f>
        <v>54050</v>
      </c>
      <c r="P152"/>
      <c r="T152">
        <f>dataset!$K152*dataset!$G152</f>
        <v>54050</v>
      </c>
    </row>
    <row r="153" spans="1:20" x14ac:dyDescent="0.35">
      <c r="A153" s="2">
        <v>45818</v>
      </c>
      <c r="B153">
        <f t="shared" si="5"/>
        <v>10</v>
      </c>
      <c r="C153" t="s">
        <v>29</v>
      </c>
      <c r="D153" t="s">
        <v>11</v>
      </c>
      <c r="E153" t="s">
        <v>12</v>
      </c>
      <c r="F153" t="s">
        <v>40</v>
      </c>
      <c r="G153">
        <v>44</v>
      </c>
      <c r="H153">
        <v>2071</v>
      </c>
      <c r="I153" t="s">
        <v>279</v>
      </c>
      <c r="J153" t="s">
        <v>15</v>
      </c>
      <c r="K153">
        <v>1100</v>
      </c>
      <c r="L153" s="7">
        <f t="shared" si="4"/>
        <v>91124</v>
      </c>
      <c r="M153" s="7">
        <f>dataset!$L153-T153</f>
        <v>42724</v>
      </c>
      <c r="N153" s="7">
        <f>dataset!$M153/dataset!$L153*100</f>
        <v>46.88556253017866</v>
      </c>
      <c r="O153" s="25">
        <f>dataset!$K153*dataset!$G153</f>
        <v>48400</v>
      </c>
      <c r="P153"/>
      <c r="T153">
        <f>dataset!$K153*dataset!$G153</f>
        <v>48400</v>
      </c>
    </row>
    <row r="154" spans="1:20" x14ac:dyDescent="0.35">
      <c r="A154" s="2">
        <v>45827</v>
      </c>
      <c r="B154">
        <f t="shared" si="5"/>
        <v>19</v>
      </c>
      <c r="C154" t="s">
        <v>26</v>
      </c>
      <c r="D154" t="s">
        <v>27</v>
      </c>
      <c r="E154" t="s">
        <v>64</v>
      </c>
      <c r="F154" t="s">
        <v>47</v>
      </c>
      <c r="G154">
        <v>22</v>
      </c>
      <c r="H154">
        <v>1948</v>
      </c>
      <c r="I154" t="s">
        <v>280</v>
      </c>
      <c r="J154" t="s">
        <v>25</v>
      </c>
      <c r="K154">
        <v>1150</v>
      </c>
      <c r="L154" s="7">
        <f t="shared" si="4"/>
        <v>42856</v>
      </c>
      <c r="M154" s="7">
        <f>dataset!$L154-T154</f>
        <v>17556</v>
      </c>
      <c r="N154" s="7">
        <f>dataset!$M154/dataset!$L154*100</f>
        <v>40.965092402464066</v>
      </c>
      <c r="O154" s="25">
        <f>dataset!$K154*dataset!$G154</f>
        <v>25300</v>
      </c>
      <c r="P154"/>
      <c r="T154">
        <f>dataset!$K154*dataset!$G154</f>
        <v>25300</v>
      </c>
    </row>
    <row r="155" spans="1:20" x14ac:dyDescent="0.35">
      <c r="A155" s="2">
        <v>45790</v>
      </c>
      <c r="B155">
        <f t="shared" si="5"/>
        <v>13</v>
      </c>
      <c r="C155" t="s">
        <v>29</v>
      </c>
      <c r="D155" t="s">
        <v>36</v>
      </c>
      <c r="E155" t="s">
        <v>39</v>
      </c>
      <c r="F155" t="s">
        <v>47</v>
      </c>
      <c r="G155">
        <v>49</v>
      </c>
      <c r="H155">
        <v>1367</v>
      </c>
      <c r="I155" t="s">
        <v>281</v>
      </c>
      <c r="J155" t="s">
        <v>15</v>
      </c>
      <c r="K155">
        <v>850</v>
      </c>
      <c r="L155" s="7">
        <f t="shared" si="4"/>
        <v>66983</v>
      </c>
      <c r="M155" s="7">
        <f>dataset!$L155-T155</f>
        <v>25333</v>
      </c>
      <c r="N155" s="7">
        <f>dataset!$M155/dataset!$L155*100</f>
        <v>37.820043891733725</v>
      </c>
      <c r="O155" s="25">
        <f>dataset!$K155*dataset!$G155</f>
        <v>41650</v>
      </c>
      <c r="P155"/>
      <c r="T155">
        <f>dataset!$K155*dataset!$G155</f>
        <v>41650</v>
      </c>
    </row>
    <row r="156" spans="1:20" x14ac:dyDescent="0.35">
      <c r="A156" s="2">
        <v>45801</v>
      </c>
      <c r="B156">
        <f t="shared" si="5"/>
        <v>24</v>
      </c>
      <c r="C156" t="s">
        <v>26</v>
      </c>
      <c r="D156" t="s">
        <v>66</v>
      </c>
      <c r="E156" t="s">
        <v>22</v>
      </c>
      <c r="F156" t="s">
        <v>37</v>
      </c>
      <c r="G156">
        <v>17</v>
      </c>
      <c r="H156">
        <v>1585</v>
      </c>
      <c r="I156" t="s">
        <v>282</v>
      </c>
      <c r="J156" t="s">
        <v>15</v>
      </c>
      <c r="K156">
        <v>1150</v>
      </c>
      <c r="L156" s="7">
        <f t="shared" si="4"/>
        <v>26945</v>
      </c>
      <c r="M156" s="7">
        <f>dataset!$L156-T156</f>
        <v>7395</v>
      </c>
      <c r="N156" s="7">
        <f>dataset!$M156/dataset!$L156*100</f>
        <v>27.444794952681388</v>
      </c>
      <c r="O156" s="25">
        <f>dataset!$K156*dataset!$G156</f>
        <v>19550</v>
      </c>
      <c r="P156"/>
      <c r="T156">
        <f>dataset!$K156*dataset!$G156</f>
        <v>19550</v>
      </c>
    </row>
    <row r="157" spans="1:20" x14ac:dyDescent="0.35">
      <c r="A157" s="2">
        <v>45805</v>
      </c>
      <c r="B157">
        <f t="shared" si="5"/>
        <v>28</v>
      </c>
      <c r="C157" t="s">
        <v>20</v>
      </c>
      <c r="D157" t="s">
        <v>11</v>
      </c>
      <c r="E157" t="s">
        <v>42</v>
      </c>
      <c r="F157" t="s">
        <v>31</v>
      </c>
      <c r="G157">
        <v>26</v>
      </c>
      <c r="H157">
        <v>814</v>
      </c>
      <c r="I157" t="s">
        <v>283</v>
      </c>
      <c r="J157" t="s">
        <v>15</v>
      </c>
      <c r="K157">
        <v>400</v>
      </c>
      <c r="L157" s="7">
        <f t="shared" si="4"/>
        <v>21164</v>
      </c>
      <c r="M157" s="7">
        <f>dataset!$L157-T157</f>
        <v>10764</v>
      </c>
      <c r="N157" s="7">
        <f>dataset!$M157/dataset!$L157*100</f>
        <v>50.859950859950864</v>
      </c>
      <c r="O157" s="25">
        <f>dataset!$K157*dataset!$G157</f>
        <v>10400</v>
      </c>
      <c r="P157"/>
      <c r="T157">
        <f>dataset!$K157*dataset!$G157</f>
        <v>10400</v>
      </c>
    </row>
    <row r="158" spans="1:20" x14ac:dyDescent="0.35">
      <c r="A158" s="2">
        <v>45801</v>
      </c>
      <c r="B158">
        <f t="shared" si="5"/>
        <v>24</v>
      </c>
      <c r="C158" t="s">
        <v>10</v>
      </c>
      <c r="D158" t="s">
        <v>21</v>
      </c>
      <c r="E158" t="s">
        <v>64</v>
      </c>
      <c r="F158" t="s">
        <v>40</v>
      </c>
      <c r="G158">
        <v>29</v>
      </c>
      <c r="H158">
        <v>635</v>
      </c>
      <c r="I158" t="s">
        <v>65</v>
      </c>
      <c r="J158" t="s">
        <v>15</v>
      </c>
      <c r="K158">
        <v>400</v>
      </c>
      <c r="L158" s="7">
        <f t="shared" si="4"/>
        <v>18415</v>
      </c>
      <c r="M158" s="7">
        <f>dataset!$L158-T158</f>
        <v>6815</v>
      </c>
      <c r="N158" s="7">
        <f>dataset!$M158/dataset!$L158*100</f>
        <v>37.00787401574803</v>
      </c>
      <c r="O158" s="25">
        <f>dataset!$K158*dataset!$G158</f>
        <v>11600</v>
      </c>
      <c r="P158"/>
      <c r="T158">
        <f>dataset!$K158*dataset!$G158</f>
        <v>11600</v>
      </c>
    </row>
    <row r="159" spans="1:20" x14ac:dyDescent="0.35">
      <c r="A159" s="2">
        <v>45780</v>
      </c>
      <c r="B159">
        <f t="shared" si="5"/>
        <v>3</v>
      </c>
      <c r="C159" t="s">
        <v>26</v>
      </c>
      <c r="D159" t="s">
        <v>27</v>
      </c>
      <c r="E159" t="s">
        <v>75</v>
      </c>
      <c r="F159" t="s">
        <v>56</v>
      </c>
      <c r="G159">
        <v>31</v>
      </c>
      <c r="H159">
        <v>2039</v>
      </c>
      <c r="I159" t="s">
        <v>284</v>
      </c>
      <c r="J159" t="s">
        <v>15</v>
      </c>
      <c r="K159">
        <v>1600</v>
      </c>
      <c r="L159" s="7">
        <f t="shared" si="4"/>
        <v>63209</v>
      </c>
      <c r="M159" s="7">
        <f>dataset!$L159-T159</f>
        <v>13609</v>
      </c>
      <c r="N159" s="7">
        <f>dataset!$M159/dataset!$L159*100</f>
        <v>21.530161844041196</v>
      </c>
      <c r="O159" s="25">
        <f>dataset!$K159*dataset!$G159</f>
        <v>49600</v>
      </c>
      <c r="P159"/>
      <c r="T159">
        <f>dataset!$K159*dataset!$G159</f>
        <v>49600</v>
      </c>
    </row>
    <row r="160" spans="1:20" x14ac:dyDescent="0.35">
      <c r="A160" s="2">
        <v>45757</v>
      </c>
      <c r="B160">
        <f t="shared" si="5"/>
        <v>10</v>
      </c>
      <c r="C160" t="s">
        <v>26</v>
      </c>
      <c r="D160" t="s">
        <v>11</v>
      </c>
      <c r="E160" t="s">
        <v>42</v>
      </c>
      <c r="F160" t="s">
        <v>52</v>
      </c>
      <c r="G160">
        <v>43</v>
      </c>
      <c r="H160">
        <v>1661</v>
      </c>
      <c r="I160" t="s">
        <v>285</v>
      </c>
      <c r="J160" t="s">
        <v>25</v>
      </c>
      <c r="K160">
        <v>1050</v>
      </c>
      <c r="L160" s="7">
        <f t="shared" si="4"/>
        <v>71423</v>
      </c>
      <c r="M160" s="7">
        <f>dataset!$L160-T160</f>
        <v>26273</v>
      </c>
      <c r="N160" s="7">
        <f>dataset!$M160/dataset!$L160*100</f>
        <v>36.785069235400364</v>
      </c>
      <c r="O160" s="25">
        <f>dataset!$K160*dataset!$G160</f>
        <v>45150</v>
      </c>
      <c r="P160"/>
      <c r="T160">
        <f>dataset!$K160*dataset!$G160</f>
        <v>45150</v>
      </c>
    </row>
    <row r="161" spans="1:20" x14ac:dyDescent="0.35">
      <c r="A161" s="2">
        <v>45765</v>
      </c>
      <c r="B161">
        <f t="shared" si="5"/>
        <v>18</v>
      </c>
      <c r="C161" t="s">
        <v>29</v>
      </c>
      <c r="D161" t="s">
        <v>11</v>
      </c>
      <c r="E161" t="s">
        <v>39</v>
      </c>
      <c r="F161" t="s">
        <v>18</v>
      </c>
      <c r="G161">
        <v>33</v>
      </c>
      <c r="H161">
        <v>1950</v>
      </c>
      <c r="I161" t="s">
        <v>286</v>
      </c>
      <c r="J161" t="s">
        <v>25</v>
      </c>
      <c r="K161">
        <v>1550</v>
      </c>
      <c r="L161" s="7">
        <f t="shared" si="4"/>
        <v>64350</v>
      </c>
      <c r="M161" s="7">
        <f>dataset!$L161-T161</f>
        <v>13200</v>
      </c>
      <c r="N161" s="7">
        <f>dataset!$M161/dataset!$L161*100</f>
        <v>20.512820512820511</v>
      </c>
      <c r="O161" s="25">
        <f>dataset!$K161*dataset!$G161</f>
        <v>51150</v>
      </c>
      <c r="P161"/>
      <c r="T161">
        <f>dataset!$K161*dataset!$G161</f>
        <v>51150</v>
      </c>
    </row>
    <row r="162" spans="1:20" x14ac:dyDescent="0.35">
      <c r="A162" s="2">
        <v>45766</v>
      </c>
      <c r="B162">
        <f t="shared" si="5"/>
        <v>19</v>
      </c>
      <c r="C162" t="s">
        <v>10</v>
      </c>
      <c r="D162" t="s">
        <v>27</v>
      </c>
      <c r="E162" t="s">
        <v>54</v>
      </c>
      <c r="F162" t="s">
        <v>40</v>
      </c>
      <c r="G162">
        <v>15</v>
      </c>
      <c r="H162">
        <v>690</v>
      </c>
      <c r="I162" t="s">
        <v>287</v>
      </c>
      <c r="J162" t="s">
        <v>15</v>
      </c>
      <c r="K162">
        <v>450</v>
      </c>
      <c r="L162" s="7">
        <f t="shared" si="4"/>
        <v>10350</v>
      </c>
      <c r="M162" s="7">
        <f>dataset!$L162-T162</f>
        <v>3600</v>
      </c>
      <c r="N162" s="7">
        <f>dataset!$M162/dataset!$L162*100</f>
        <v>34.782608695652172</v>
      </c>
      <c r="O162" s="25">
        <f>dataset!$K162*dataset!$G162</f>
        <v>6750</v>
      </c>
      <c r="P162"/>
      <c r="T162">
        <f>dataset!$K162*dataset!$G162</f>
        <v>6750</v>
      </c>
    </row>
    <row r="163" spans="1:20" x14ac:dyDescent="0.35">
      <c r="A163" s="2">
        <v>45807</v>
      </c>
      <c r="B163">
        <f t="shared" si="5"/>
        <v>30</v>
      </c>
      <c r="C163" t="s">
        <v>35</v>
      </c>
      <c r="D163" t="s">
        <v>36</v>
      </c>
      <c r="E163" t="s">
        <v>64</v>
      </c>
      <c r="F163" t="s">
        <v>56</v>
      </c>
      <c r="G163">
        <v>33</v>
      </c>
      <c r="H163">
        <v>2378</v>
      </c>
      <c r="I163" t="s">
        <v>288</v>
      </c>
      <c r="J163" t="s">
        <v>25</v>
      </c>
      <c r="K163">
        <v>1500</v>
      </c>
      <c r="L163" s="7">
        <f t="shared" si="4"/>
        <v>78474</v>
      </c>
      <c r="M163" s="7">
        <f>dataset!$L163-T163</f>
        <v>28974</v>
      </c>
      <c r="N163" s="7">
        <f>dataset!$M163/dataset!$L163*100</f>
        <v>36.921783010933559</v>
      </c>
      <c r="O163" s="25">
        <f>dataset!$K163*dataset!$G163</f>
        <v>49500</v>
      </c>
      <c r="P163"/>
      <c r="T163">
        <f>dataset!$K163*dataset!$G163</f>
        <v>49500</v>
      </c>
    </row>
    <row r="164" spans="1:20" x14ac:dyDescent="0.35">
      <c r="A164" s="2">
        <v>45791</v>
      </c>
      <c r="B164">
        <f t="shared" si="5"/>
        <v>14</v>
      </c>
      <c r="C164" t="s">
        <v>20</v>
      </c>
      <c r="D164" t="s">
        <v>16</v>
      </c>
      <c r="E164" t="s">
        <v>42</v>
      </c>
      <c r="F164" t="s">
        <v>13</v>
      </c>
      <c r="G164">
        <v>9</v>
      </c>
      <c r="H164">
        <v>2715</v>
      </c>
      <c r="I164" t="s">
        <v>289</v>
      </c>
      <c r="J164" t="s">
        <v>25</v>
      </c>
      <c r="K164">
        <v>2350</v>
      </c>
      <c r="L164" s="7">
        <f t="shared" si="4"/>
        <v>24435</v>
      </c>
      <c r="M164" s="7">
        <f>dataset!$L164-T164</f>
        <v>3285</v>
      </c>
      <c r="N164" s="7">
        <f>dataset!$M164/dataset!$L164*100</f>
        <v>13.443830570902392</v>
      </c>
      <c r="O164" s="25">
        <f>dataset!$K164*dataset!$G164</f>
        <v>21150</v>
      </c>
      <c r="P164"/>
      <c r="T164">
        <f>dataset!$K164*dataset!$G164</f>
        <v>21150</v>
      </c>
    </row>
    <row r="165" spans="1:20" x14ac:dyDescent="0.35">
      <c r="A165" s="2">
        <v>45804</v>
      </c>
      <c r="B165">
        <f t="shared" si="5"/>
        <v>27</v>
      </c>
      <c r="C165" t="s">
        <v>10</v>
      </c>
      <c r="D165" t="s">
        <v>33</v>
      </c>
      <c r="E165" t="s">
        <v>12</v>
      </c>
      <c r="F165" t="s">
        <v>23</v>
      </c>
      <c r="G165">
        <v>22</v>
      </c>
      <c r="H165">
        <v>2608</v>
      </c>
      <c r="I165" t="s">
        <v>290</v>
      </c>
      <c r="J165" t="s">
        <v>15</v>
      </c>
      <c r="K165">
        <v>1600</v>
      </c>
      <c r="L165" s="7">
        <f t="shared" si="4"/>
        <v>57376</v>
      </c>
      <c r="M165" s="7">
        <f>dataset!$L165-T165</f>
        <v>22176</v>
      </c>
      <c r="N165" s="7">
        <f>dataset!$M165/dataset!$L165*100</f>
        <v>38.650306748466257</v>
      </c>
      <c r="O165" s="25">
        <f>dataset!$K165*dataset!$G165</f>
        <v>35200</v>
      </c>
      <c r="P165"/>
      <c r="T165">
        <f>dataset!$K165*dataset!$G165</f>
        <v>35200</v>
      </c>
    </row>
    <row r="166" spans="1:20" x14ac:dyDescent="0.35">
      <c r="A166" s="2">
        <v>45831</v>
      </c>
      <c r="B166">
        <f t="shared" si="5"/>
        <v>23</v>
      </c>
      <c r="C166" t="s">
        <v>10</v>
      </c>
      <c r="D166" t="s">
        <v>16</v>
      </c>
      <c r="E166" t="s">
        <v>30</v>
      </c>
      <c r="F166" t="s">
        <v>23</v>
      </c>
      <c r="G166">
        <v>11</v>
      </c>
      <c r="H166">
        <v>649</v>
      </c>
      <c r="I166" t="s">
        <v>291</v>
      </c>
      <c r="J166" t="s">
        <v>25</v>
      </c>
      <c r="K166">
        <v>450</v>
      </c>
      <c r="L166" s="7">
        <f t="shared" si="4"/>
        <v>7139</v>
      </c>
      <c r="M166" s="7">
        <f>dataset!$L166-T166</f>
        <v>2189</v>
      </c>
      <c r="N166" s="7">
        <f>dataset!$M166/dataset!$L166*100</f>
        <v>30.662557781201848</v>
      </c>
      <c r="O166" s="25">
        <f>dataset!$K166*dataset!$G166</f>
        <v>4950</v>
      </c>
      <c r="P166"/>
      <c r="T166">
        <f>dataset!$K166*dataset!$G166</f>
        <v>4950</v>
      </c>
    </row>
    <row r="167" spans="1:20" x14ac:dyDescent="0.35">
      <c r="A167" s="2">
        <v>45752</v>
      </c>
      <c r="B167">
        <f t="shared" si="5"/>
        <v>5</v>
      </c>
      <c r="C167" t="s">
        <v>29</v>
      </c>
      <c r="D167" t="s">
        <v>36</v>
      </c>
      <c r="E167" t="s">
        <v>17</v>
      </c>
      <c r="F167" t="s">
        <v>37</v>
      </c>
      <c r="G167">
        <v>48</v>
      </c>
      <c r="H167">
        <v>1191</v>
      </c>
      <c r="I167" t="s">
        <v>292</v>
      </c>
      <c r="J167" t="s">
        <v>15</v>
      </c>
      <c r="K167">
        <v>750</v>
      </c>
      <c r="L167" s="7">
        <f t="shared" si="4"/>
        <v>57168</v>
      </c>
      <c r="M167" s="7">
        <f>dataset!$L167-T167</f>
        <v>21168</v>
      </c>
      <c r="N167" s="7">
        <f>dataset!$M167/dataset!$L167*100</f>
        <v>37.02770780856423</v>
      </c>
      <c r="O167" s="25">
        <f>dataset!$K167*dataset!$G167</f>
        <v>36000</v>
      </c>
      <c r="P167"/>
      <c r="T167">
        <f>dataset!$K167*dataset!$G167</f>
        <v>36000</v>
      </c>
    </row>
    <row r="168" spans="1:20" x14ac:dyDescent="0.35">
      <c r="A168" s="2">
        <v>45753</v>
      </c>
      <c r="B168">
        <f t="shared" si="5"/>
        <v>6</v>
      </c>
      <c r="C168" t="s">
        <v>26</v>
      </c>
      <c r="D168" t="s">
        <v>21</v>
      </c>
      <c r="E168" t="s">
        <v>75</v>
      </c>
      <c r="F168" t="s">
        <v>59</v>
      </c>
      <c r="G168">
        <v>47</v>
      </c>
      <c r="H168">
        <v>1090</v>
      </c>
      <c r="I168" t="s">
        <v>293</v>
      </c>
      <c r="J168" t="s">
        <v>25</v>
      </c>
      <c r="K168">
        <v>900</v>
      </c>
      <c r="L168" s="7">
        <f t="shared" si="4"/>
        <v>51230</v>
      </c>
      <c r="M168" s="7">
        <f>dataset!$L168-T168</f>
        <v>8930</v>
      </c>
      <c r="N168" s="7">
        <f>dataset!$M168/dataset!$L168*100</f>
        <v>17.431192660550458</v>
      </c>
      <c r="O168" s="25">
        <f>dataset!$K168*dataset!$G168</f>
        <v>42300</v>
      </c>
      <c r="P168"/>
      <c r="T168">
        <f>dataset!$K168*dataset!$G168</f>
        <v>42300</v>
      </c>
    </row>
    <row r="169" spans="1:20" x14ac:dyDescent="0.35">
      <c r="A169" s="2">
        <v>45817</v>
      </c>
      <c r="B169">
        <f t="shared" si="5"/>
        <v>9</v>
      </c>
      <c r="C169" t="s">
        <v>29</v>
      </c>
      <c r="D169" t="s">
        <v>66</v>
      </c>
      <c r="E169" t="s">
        <v>67</v>
      </c>
      <c r="F169" t="s">
        <v>18</v>
      </c>
      <c r="G169">
        <v>32</v>
      </c>
      <c r="H169">
        <v>1223</v>
      </c>
      <c r="I169" t="s">
        <v>68</v>
      </c>
      <c r="J169" t="s">
        <v>25</v>
      </c>
      <c r="K169">
        <v>1100</v>
      </c>
      <c r="L169" s="7">
        <f t="shared" si="4"/>
        <v>39136</v>
      </c>
      <c r="M169" s="7">
        <f>dataset!$L169-T169</f>
        <v>3936</v>
      </c>
      <c r="N169" s="7">
        <f>dataset!$M169/dataset!$L169*100</f>
        <v>10.057236304170074</v>
      </c>
      <c r="O169" s="25">
        <f>dataset!$K169*dataset!$G169</f>
        <v>35200</v>
      </c>
      <c r="P169"/>
      <c r="T169">
        <f>dataset!$K169*dataset!$G169</f>
        <v>35200</v>
      </c>
    </row>
    <row r="170" spans="1:20" x14ac:dyDescent="0.35">
      <c r="A170" s="2">
        <v>45762</v>
      </c>
      <c r="B170">
        <f t="shared" si="5"/>
        <v>15</v>
      </c>
      <c r="C170" t="s">
        <v>10</v>
      </c>
      <c r="D170" t="s">
        <v>36</v>
      </c>
      <c r="E170" t="s">
        <v>42</v>
      </c>
      <c r="F170" t="s">
        <v>40</v>
      </c>
      <c r="G170">
        <v>47</v>
      </c>
      <c r="H170">
        <v>2827</v>
      </c>
      <c r="I170" t="s">
        <v>294</v>
      </c>
      <c r="J170" t="s">
        <v>25</v>
      </c>
      <c r="K170">
        <v>2500</v>
      </c>
      <c r="L170" s="7">
        <f t="shared" si="4"/>
        <v>132869</v>
      </c>
      <c r="M170" s="7">
        <f>dataset!$L170-T170</f>
        <v>15369</v>
      </c>
      <c r="N170" s="7">
        <f>dataset!$M170/dataset!$L170*100</f>
        <v>11.567032189600283</v>
      </c>
      <c r="O170" s="25">
        <f>dataset!$K170*dataset!$G170</f>
        <v>117500</v>
      </c>
      <c r="P170"/>
      <c r="T170">
        <f>dataset!$K170*dataset!$G170</f>
        <v>117500</v>
      </c>
    </row>
    <row r="171" spans="1:20" x14ac:dyDescent="0.35">
      <c r="A171" s="2">
        <v>45815</v>
      </c>
      <c r="B171">
        <f t="shared" si="5"/>
        <v>7</v>
      </c>
      <c r="C171" t="s">
        <v>29</v>
      </c>
      <c r="D171" t="s">
        <v>21</v>
      </c>
      <c r="E171" t="s">
        <v>17</v>
      </c>
      <c r="F171" t="s">
        <v>59</v>
      </c>
      <c r="G171">
        <v>23</v>
      </c>
      <c r="H171">
        <v>1755</v>
      </c>
      <c r="I171" t="s">
        <v>295</v>
      </c>
      <c r="J171" t="s">
        <v>25</v>
      </c>
      <c r="K171">
        <v>1150</v>
      </c>
      <c r="L171" s="7">
        <f t="shared" si="4"/>
        <v>40365</v>
      </c>
      <c r="M171" s="7">
        <f>dataset!$L171-T171</f>
        <v>13915</v>
      </c>
      <c r="N171" s="7">
        <f>dataset!$M171/dataset!$L171*100</f>
        <v>34.472934472934476</v>
      </c>
      <c r="O171" s="25">
        <f>dataset!$K171*dataset!$G171</f>
        <v>26450</v>
      </c>
      <c r="P171"/>
      <c r="T171">
        <f>dataset!$K171*dataset!$G171</f>
        <v>26450</v>
      </c>
    </row>
    <row r="172" spans="1:20" x14ac:dyDescent="0.35">
      <c r="A172" s="2">
        <v>45770</v>
      </c>
      <c r="B172">
        <f t="shared" si="5"/>
        <v>23</v>
      </c>
      <c r="C172" t="s">
        <v>26</v>
      </c>
      <c r="D172" t="s">
        <v>21</v>
      </c>
      <c r="E172" t="s">
        <v>75</v>
      </c>
      <c r="F172" t="s">
        <v>18</v>
      </c>
      <c r="G172">
        <v>15</v>
      </c>
      <c r="H172">
        <v>562</v>
      </c>
      <c r="I172" t="s">
        <v>296</v>
      </c>
      <c r="J172" t="s">
        <v>15</v>
      </c>
      <c r="K172">
        <v>450</v>
      </c>
      <c r="L172" s="7">
        <f t="shared" si="4"/>
        <v>8430</v>
      </c>
      <c r="M172" s="7">
        <f>dataset!$L172-T172</f>
        <v>1680</v>
      </c>
      <c r="N172" s="7">
        <f>dataset!$M172/dataset!$L172*100</f>
        <v>19.9288256227758</v>
      </c>
      <c r="O172" s="25">
        <f>dataset!$K172*dataset!$G172</f>
        <v>6750</v>
      </c>
      <c r="P172"/>
      <c r="T172">
        <f>dataset!$K172*dataset!$G172</f>
        <v>6750</v>
      </c>
    </row>
    <row r="173" spans="1:20" x14ac:dyDescent="0.35">
      <c r="A173" s="2">
        <v>45777</v>
      </c>
      <c r="B173">
        <f t="shared" si="5"/>
        <v>30</v>
      </c>
      <c r="C173" t="s">
        <v>10</v>
      </c>
      <c r="D173" t="s">
        <v>46</v>
      </c>
      <c r="E173" t="s">
        <v>67</v>
      </c>
      <c r="F173" t="s">
        <v>52</v>
      </c>
      <c r="G173">
        <v>20</v>
      </c>
      <c r="H173">
        <v>1459</v>
      </c>
      <c r="I173" t="s">
        <v>297</v>
      </c>
      <c r="J173" t="s">
        <v>25</v>
      </c>
      <c r="K173">
        <v>900</v>
      </c>
      <c r="L173" s="7">
        <f t="shared" si="4"/>
        <v>29180</v>
      </c>
      <c r="M173" s="7">
        <f>dataset!$L173-T173</f>
        <v>11180</v>
      </c>
      <c r="N173" s="7">
        <f>dataset!$M173/dataset!$L173*100</f>
        <v>38.313913639479097</v>
      </c>
      <c r="O173" s="25">
        <f>dataset!$K173*dataset!$G173</f>
        <v>18000</v>
      </c>
      <c r="P173"/>
      <c r="T173">
        <f>dataset!$K173*dataset!$G173</f>
        <v>18000</v>
      </c>
    </row>
    <row r="174" spans="1:20" x14ac:dyDescent="0.35">
      <c r="A174" s="2">
        <v>45760</v>
      </c>
      <c r="B174">
        <f t="shared" si="5"/>
        <v>13</v>
      </c>
      <c r="C174" t="s">
        <v>29</v>
      </c>
      <c r="D174" t="s">
        <v>66</v>
      </c>
      <c r="E174" t="s">
        <v>17</v>
      </c>
      <c r="F174" t="s">
        <v>37</v>
      </c>
      <c r="G174">
        <v>6</v>
      </c>
      <c r="H174">
        <v>1458</v>
      </c>
      <c r="I174" t="s">
        <v>298</v>
      </c>
      <c r="J174" t="s">
        <v>25</v>
      </c>
      <c r="K174">
        <v>1100</v>
      </c>
      <c r="L174" s="7">
        <f t="shared" si="4"/>
        <v>8748</v>
      </c>
      <c r="M174" s="7">
        <f>dataset!$L174-T174</f>
        <v>2148</v>
      </c>
      <c r="N174" s="7">
        <f>dataset!$M174/dataset!$L174*100</f>
        <v>24.554183813443071</v>
      </c>
      <c r="O174" s="25">
        <f>dataset!$K174*dataset!$G174</f>
        <v>6600</v>
      </c>
      <c r="P174"/>
      <c r="T174">
        <f>dataset!$K174*dataset!$G174</f>
        <v>6600</v>
      </c>
    </row>
    <row r="175" spans="1:20" x14ac:dyDescent="0.35">
      <c r="A175" s="2">
        <v>45801</v>
      </c>
      <c r="B175">
        <f t="shared" si="5"/>
        <v>24</v>
      </c>
      <c r="C175" t="s">
        <v>20</v>
      </c>
      <c r="D175" t="s">
        <v>36</v>
      </c>
      <c r="E175" t="s">
        <v>67</v>
      </c>
      <c r="F175" t="s">
        <v>31</v>
      </c>
      <c r="G175">
        <v>11</v>
      </c>
      <c r="H175">
        <v>1761</v>
      </c>
      <c r="I175" t="s">
        <v>299</v>
      </c>
      <c r="J175" t="s">
        <v>25</v>
      </c>
      <c r="K175">
        <v>950</v>
      </c>
      <c r="L175" s="7">
        <f t="shared" si="4"/>
        <v>19371</v>
      </c>
      <c r="M175" s="7">
        <f>dataset!$L175-T175</f>
        <v>8921</v>
      </c>
      <c r="N175" s="7">
        <f>dataset!$M175/dataset!$L175*100</f>
        <v>46.053378762067013</v>
      </c>
      <c r="O175" s="25">
        <f>dataset!$K175*dataset!$G175</f>
        <v>10450</v>
      </c>
      <c r="P175"/>
      <c r="T175">
        <f>dataset!$K175*dataset!$G175</f>
        <v>10450</v>
      </c>
    </row>
    <row r="176" spans="1:20" x14ac:dyDescent="0.35">
      <c r="A176" s="2">
        <v>45831</v>
      </c>
      <c r="B176">
        <f t="shared" si="5"/>
        <v>23</v>
      </c>
      <c r="C176" t="s">
        <v>35</v>
      </c>
      <c r="D176" t="s">
        <v>11</v>
      </c>
      <c r="E176" t="s">
        <v>17</v>
      </c>
      <c r="F176" t="s">
        <v>52</v>
      </c>
      <c r="G176">
        <v>24</v>
      </c>
      <c r="H176">
        <v>1332</v>
      </c>
      <c r="I176" t="s">
        <v>300</v>
      </c>
      <c r="J176" t="s">
        <v>15</v>
      </c>
      <c r="K176">
        <v>900</v>
      </c>
      <c r="L176" s="7">
        <f t="shared" si="4"/>
        <v>31968</v>
      </c>
      <c r="M176" s="7">
        <f>dataset!$L176-T176</f>
        <v>10368</v>
      </c>
      <c r="N176" s="7">
        <f>dataset!$M176/dataset!$L176*100</f>
        <v>32.432432432432435</v>
      </c>
      <c r="O176" s="25">
        <f>dataset!$K176*dataset!$G176</f>
        <v>21600</v>
      </c>
      <c r="P176"/>
      <c r="T176">
        <f>dataset!$K176*dataset!$G176</f>
        <v>21600</v>
      </c>
    </row>
    <row r="177" spans="1:20" x14ac:dyDescent="0.35">
      <c r="A177" s="2">
        <v>45762</v>
      </c>
      <c r="B177">
        <f t="shared" si="5"/>
        <v>15</v>
      </c>
      <c r="C177" t="s">
        <v>20</v>
      </c>
      <c r="D177" t="s">
        <v>46</v>
      </c>
      <c r="E177" t="s">
        <v>17</v>
      </c>
      <c r="F177" t="s">
        <v>59</v>
      </c>
      <c r="G177">
        <v>27</v>
      </c>
      <c r="H177">
        <v>2616</v>
      </c>
      <c r="I177" t="s">
        <v>301</v>
      </c>
      <c r="J177" t="s">
        <v>15</v>
      </c>
      <c r="K177">
        <v>1600</v>
      </c>
      <c r="L177" s="7">
        <f t="shared" si="4"/>
        <v>70632</v>
      </c>
      <c r="M177" s="7">
        <f>dataset!$L177-T177</f>
        <v>27432</v>
      </c>
      <c r="N177" s="7">
        <f>dataset!$M177/dataset!$L177*100</f>
        <v>38.837920489296636</v>
      </c>
      <c r="O177" s="25">
        <f>dataset!$K177*dataset!$G177</f>
        <v>43200</v>
      </c>
      <c r="P177"/>
      <c r="T177">
        <f>dataset!$K177*dataset!$G177</f>
        <v>43200</v>
      </c>
    </row>
    <row r="178" spans="1:20" x14ac:dyDescent="0.35">
      <c r="A178" s="2">
        <v>45781</v>
      </c>
      <c r="B178">
        <f t="shared" si="5"/>
        <v>4</v>
      </c>
      <c r="C178" t="s">
        <v>35</v>
      </c>
      <c r="D178" t="s">
        <v>27</v>
      </c>
      <c r="E178" t="s">
        <v>42</v>
      </c>
      <c r="F178" t="s">
        <v>56</v>
      </c>
      <c r="G178">
        <v>6</v>
      </c>
      <c r="H178">
        <v>2910</v>
      </c>
      <c r="I178" t="s">
        <v>302</v>
      </c>
      <c r="J178" t="s">
        <v>15</v>
      </c>
      <c r="K178">
        <v>2150</v>
      </c>
      <c r="L178" s="7">
        <f t="shared" si="4"/>
        <v>17460</v>
      </c>
      <c r="M178" s="7">
        <f>dataset!$L178-T178</f>
        <v>4560</v>
      </c>
      <c r="N178" s="7">
        <f>dataset!$M178/dataset!$L178*100</f>
        <v>26.116838487972512</v>
      </c>
      <c r="O178" s="25">
        <f>dataset!$K178*dataset!$G178</f>
        <v>12900</v>
      </c>
      <c r="P178"/>
      <c r="T178">
        <f>dataset!$K178*dataset!$G178</f>
        <v>12900</v>
      </c>
    </row>
    <row r="179" spans="1:20" x14ac:dyDescent="0.35">
      <c r="A179" s="2">
        <v>45790</v>
      </c>
      <c r="B179">
        <f t="shared" si="5"/>
        <v>13</v>
      </c>
      <c r="C179" t="s">
        <v>29</v>
      </c>
      <c r="D179" t="s">
        <v>36</v>
      </c>
      <c r="E179" t="s">
        <v>17</v>
      </c>
      <c r="F179" t="s">
        <v>59</v>
      </c>
      <c r="G179">
        <v>40</v>
      </c>
      <c r="H179">
        <v>2558</v>
      </c>
      <c r="I179" t="s">
        <v>303</v>
      </c>
      <c r="J179" t="s">
        <v>25</v>
      </c>
      <c r="K179">
        <v>2200</v>
      </c>
      <c r="L179" s="7">
        <f t="shared" si="4"/>
        <v>102320</v>
      </c>
      <c r="M179" s="7">
        <f>dataset!$L179-T179</f>
        <v>14320</v>
      </c>
      <c r="N179" s="7">
        <f>dataset!$M179/dataset!$L179*100</f>
        <v>13.995308835027364</v>
      </c>
      <c r="O179" s="25">
        <f>dataset!$K179*dataset!$G179</f>
        <v>88000</v>
      </c>
      <c r="P179"/>
      <c r="T179">
        <f>dataset!$K179*dataset!$G179</f>
        <v>88000</v>
      </c>
    </row>
    <row r="180" spans="1:20" x14ac:dyDescent="0.35">
      <c r="A180" s="2">
        <v>45808</v>
      </c>
      <c r="B180">
        <f t="shared" si="5"/>
        <v>31</v>
      </c>
      <c r="C180" t="s">
        <v>20</v>
      </c>
      <c r="D180" t="s">
        <v>16</v>
      </c>
      <c r="E180" t="s">
        <v>30</v>
      </c>
      <c r="F180" t="s">
        <v>23</v>
      </c>
      <c r="G180">
        <v>47</v>
      </c>
      <c r="H180">
        <v>1305</v>
      </c>
      <c r="I180" t="s">
        <v>69</v>
      </c>
      <c r="J180" t="s">
        <v>25</v>
      </c>
      <c r="K180">
        <v>800</v>
      </c>
      <c r="L180" s="7">
        <f t="shared" si="4"/>
        <v>61335</v>
      </c>
      <c r="M180" s="7">
        <f>dataset!$L180-T180</f>
        <v>23735</v>
      </c>
      <c r="N180" s="7">
        <f>dataset!$M180/dataset!$L180*100</f>
        <v>38.697318007662837</v>
      </c>
      <c r="O180" s="25">
        <f>dataset!$K180*dataset!$G180</f>
        <v>37600</v>
      </c>
      <c r="P180"/>
      <c r="T180">
        <f>dataset!$K180*dataset!$G180</f>
        <v>37600</v>
      </c>
    </row>
    <row r="181" spans="1:20" x14ac:dyDescent="0.35">
      <c r="A181" s="2">
        <v>45760</v>
      </c>
      <c r="B181">
        <f t="shared" si="5"/>
        <v>13</v>
      </c>
      <c r="C181" t="s">
        <v>35</v>
      </c>
      <c r="D181" t="s">
        <v>21</v>
      </c>
      <c r="E181" t="s">
        <v>54</v>
      </c>
      <c r="F181" t="s">
        <v>47</v>
      </c>
      <c r="G181">
        <v>11</v>
      </c>
      <c r="H181">
        <v>2600</v>
      </c>
      <c r="I181" t="s">
        <v>304</v>
      </c>
      <c r="J181" t="s">
        <v>15</v>
      </c>
      <c r="K181">
        <v>2200</v>
      </c>
      <c r="L181" s="7">
        <f t="shared" si="4"/>
        <v>28600</v>
      </c>
      <c r="M181" s="7">
        <f>dataset!$L181-T181</f>
        <v>4400</v>
      </c>
      <c r="N181" s="7">
        <f>dataset!$M181/dataset!$L181*100</f>
        <v>15.384615384615385</v>
      </c>
      <c r="O181" s="25">
        <f>dataset!$K181*dataset!$G181</f>
        <v>24200</v>
      </c>
      <c r="P181"/>
      <c r="T181">
        <f>dataset!$K181*dataset!$G181</f>
        <v>24200</v>
      </c>
    </row>
    <row r="182" spans="1:20" x14ac:dyDescent="0.35">
      <c r="A182" s="2">
        <v>45777</v>
      </c>
      <c r="B182">
        <f t="shared" si="5"/>
        <v>30</v>
      </c>
      <c r="C182" t="s">
        <v>20</v>
      </c>
      <c r="D182" t="s">
        <v>33</v>
      </c>
      <c r="E182" t="s">
        <v>39</v>
      </c>
      <c r="F182" t="s">
        <v>56</v>
      </c>
      <c r="G182">
        <v>6</v>
      </c>
      <c r="H182">
        <v>2503</v>
      </c>
      <c r="I182" t="s">
        <v>305</v>
      </c>
      <c r="J182" t="s">
        <v>25</v>
      </c>
      <c r="K182">
        <v>1500</v>
      </c>
      <c r="L182" s="7">
        <f t="shared" si="4"/>
        <v>15018</v>
      </c>
      <c r="M182" s="7">
        <f>dataset!$L182-T182</f>
        <v>6018</v>
      </c>
      <c r="N182" s="7">
        <f>dataset!$M182/dataset!$L182*100</f>
        <v>40.071913703555737</v>
      </c>
      <c r="O182" s="25">
        <f>dataset!$K182*dataset!$G182</f>
        <v>9000</v>
      </c>
      <c r="P182"/>
      <c r="T182">
        <f>dataset!$K182*dataset!$G182</f>
        <v>9000</v>
      </c>
    </row>
    <row r="183" spans="1:20" x14ac:dyDescent="0.35">
      <c r="A183" s="2">
        <v>45793</v>
      </c>
      <c r="B183">
        <f t="shared" si="5"/>
        <v>16</v>
      </c>
      <c r="C183" t="s">
        <v>29</v>
      </c>
      <c r="D183" t="s">
        <v>33</v>
      </c>
      <c r="E183" t="s">
        <v>42</v>
      </c>
      <c r="F183" t="s">
        <v>23</v>
      </c>
      <c r="G183">
        <v>32</v>
      </c>
      <c r="H183">
        <v>2511</v>
      </c>
      <c r="I183" t="s">
        <v>306</v>
      </c>
      <c r="J183" t="s">
        <v>25</v>
      </c>
      <c r="K183">
        <v>2250</v>
      </c>
      <c r="L183" s="7">
        <f t="shared" si="4"/>
        <v>80352</v>
      </c>
      <c r="M183" s="7">
        <f>dataset!$L183-T183</f>
        <v>8352</v>
      </c>
      <c r="N183" s="7">
        <f>dataset!$M183/dataset!$L183*100</f>
        <v>10.394265232974909</v>
      </c>
      <c r="O183" s="25">
        <f>dataset!$K183*dataset!$G183</f>
        <v>72000</v>
      </c>
      <c r="P183"/>
      <c r="T183">
        <f>dataset!$K183*dataset!$G183</f>
        <v>72000</v>
      </c>
    </row>
    <row r="184" spans="1:20" x14ac:dyDescent="0.35">
      <c r="A184" s="2">
        <v>45794</v>
      </c>
      <c r="B184">
        <f t="shared" si="5"/>
        <v>17</v>
      </c>
      <c r="C184" t="s">
        <v>26</v>
      </c>
      <c r="D184" t="s">
        <v>11</v>
      </c>
      <c r="E184" t="s">
        <v>30</v>
      </c>
      <c r="F184" t="s">
        <v>23</v>
      </c>
      <c r="G184">
        <v>24</v>
      </c>
      <c r="H184">
        <v>310</v>
      </c>
      <c r="I184" t="s">
        <v>307</v>
      </c>
      <c r="J184" t="s">
        <v>25</v>
      </c>
      <c r="K184">
        <v>250</v>
      </c>
      <c r="L184" s="7">
        <f t="shared" si="4"/>
        <v>7440</v>
      </c>
      <c r="M184" s="7">
        <f>dataset!$L184-T184</f>
        <v>1440</v>
      </c>
      <c r="N184" s="7">
        <f>dataset!$M184/dataset!$L184*100</f>
        <v>19.35483870967742</v>
      </c>
      <c r="O184" s="25">
        <f>dataset!$K184*dataset!$G184</f>
        <v>6000</v>
      </c>
      <c r="P184"/>
      <c r="T184">
        <f>dataset!$K184*dataset!$G184</f>
        <v>6000</v>
      </c>
    </row>
    <row r="185" spans="1:20" x14ac:dyDescent="0.35">
      <c r="A185" s="2">
        <v>45775</v>
      </c>
      <c r="B185">
        <f t="shared" si="5"/>
        <v>28</v>
      </c>
      <c r="C185" t="s">
        <v>10</v>
      </c>
      <c r="D185" t="s">
        <v>27</v>
      </c>
      <c r="E185" t="s">
        <v>22</v>
      </c>
      <c r="F185" t="s">
        <v>13</v>
      </c>
      <c r="G185">
        <v>39</v>
      </c>
      <c r="H185">
        <v>2764</v>
      </c>
      <c r="I185" t="s">
        <v>308</v>
      </c>
      <c r="J185" t="s">
        <v>15</v>
      </c>
      <c r="K185">
        <v>1750</v>
      </c>
      <c r="L185" s="7">
        <f t="shared" si="4"/>
        <v>107796</v>
      </c>
      <c r="M185" s="7">
        <f>dataset!$L185-T185</f>
        <v>39546</v>
      </c>
      <c r="N185" s="7">
        <f>dataset!$M185/dataset!$L185*100</f>
        <v>36.685962373371922</v>
      </c>
      <c r="O185" s="25">
        <f>dataset!$K185*dataset!$G185</f>
        <v>68250</v>
      </c>
      <c r="P185"/>
      <c r="T185">
        <f>dataset!$K185*dataset!$G185</f>
        <v>68250</v>
      </c>
    </row>
    <row r="186" spans="1:20" x14ac:dyDescent="0.35">
      <c r="A186" s="2">
        <v>45794</v>
      </c>
      <c r="B186">
        <f t="shared" si="5"/>
        <v>17</v>
      </c>
      <c r="C186" t="s">
        <v>29</v>
      </c>
      <c r="D186" t="s">
        <v>33</v>
      </c>
      <c r="E186" t="s">
        <v>17</v>
      </c>
      <c r="F186" t="s">
        <v>23</v>
      </c>
      <c r="G186">
        <v>29</v>
      </c>
      <c r="H186">
        <v>2484</v>
      </c>
      <c r="I186" t="s">
        <v>309</v>
      </c>
      <c r="J186" t="s">
        <v>15</v>
      </c>
      <c r="K186">
        <v>1900</v>
      </c>
      <c r="L186" s="7">
        <f t="shared" si="4"/>
        <v>72036</v>
      </c>
      <c r="M186" s="7">
        <f>dataset!$L186-T186</f>
        <v>16936</v>
      </c>
      <c r="N186" s="7">
        <f>dataset!$M186/dataset!$L186*100</f>
        <v>23.510466988727856</v>
      </c>
      <c r="O186" s="25">
        <f>dataset!$K186*dataset!$G186</f>
        <v>55100</v>
      </c>
      <c r="P186"/>
      <c r="T186">
        <f>dataset!$K186*dataset!$G186</f>
        <v>55100</v>
      </c>
    </row>
    <row r="187" spans="1:20" x14ac:dyDescent="0.35">
      <c r="A187" s="2">
        <v>45762</v>
      </c>
      <c r="B187">
        <f t="shared" si="5"/>
        <v>15</v>
      </c>
      <c r="C187" t="s">
        <v>26</v>
      </c>
      <c r="D187" t="s">
        <v>66</v>
      </c>
      <c r="E187" t="s">
        <v>67</v>
      </c>
      <c r="F187" t="s">
        <v>56</v>
      </c>
      <c r="G187">
        <v>30</v>
      </c>
      <c r="H187">
        <v>558</v>
      </c>
      <c r="I187" t="s">
        <v>310</v>
      </c>
      <c r="J187" t="s">
        <v>15</v>
      </c>
      <c r="K187">
        <v>350</v>
      </c>
      <c r="L187" s="7">
        <f t="shared" si="4"/>
        <v>16740</v>
      </c>
      <c r="M187" s="7">
        <f>dataset!$L187-T187</f>
        <v>6240</v>
      </c>
      <c r="N187" s="7">
        <f>dataset!$M187/dataset!$L187*100</f>
        <v>37.275985663082437</v>
      </c>
      <c r="O187" s="25">
        <f>dataset!$K187*dataset!$G187</f>
        <v>10500</v>
      </c>
      <c r="P187"/>
      <c r="T187">
        <f>dataset!$K187*dataset!$G187</f>
        <v>10500</v>
      </c>
    </row>
    <row r="188" spans="1:20" x14ac:dyDescent="0.35">
      <c r="A188" s="2">
        <v>45820</v>
      </c>
      <c r="B188">
        <f t="shared" si="5"/>
        <v>12</v>
      </c>
      <c r="C188" t="s">
        <v>29</v>
      </c>
      <c r="D188" t="s">
        <v>66</v>
      </c>
      <c r="E188" t="s">
        <v>30</v>
      </c>
      <c r="F188" t="s">
        <v>52</v>
      </c>
      <c r="G188">
        <v>34</v>
      </c>
      <c r="H188">
        <v>1902</v>
      </c>
      <c r="I188" t="s">
        <v>311</v>
      </c>
      <c r="J188" t="s">
        <v>25</v>
      </c>
      <c r="K188">
        <v>1650</v>
      </c>
      <c r="L188" s="7">
        <f t="shared" si="4"/>
        <v>64668</v>
      </c>
      <c r="M188" s="7">
        <f>dataset!$L188-T188</f>
        <v>8568</v>
      </c>
      <c r="N188" s="7">
        <f>dataset!$M188/dataset!$L188*100</f>
        <v>13.249211356466878</v>
      </c>
      <c r="O188" s="25">
        <f>dataset!$K188*dataset!$G188</f>
        <v>56100</v>
      </c>
      <c r="P188"/>
      <c r="T188">
        <f>dataset!$K188*dataset!$G188</f>
        <v>56100</v>
      </c>
    </row>
    <row r="189" spans="1:20" x14ac:dyDescent="0.35">
      <c r="A189" s="2">
        <v>45815</v>
      </c>
      <c r="B189">
        <f t="shared" si="5"/>
        <v>7</v>
      </c>
      <c r="C189" t="s">
        <v>10</v>
      </c>
      <c r="D189" t="s">
        <v>16</v>
      </c>
      <c r="E189" t="s">
        <v>67</v>
      </c>
      <c r="F189" t="s">
        <v>52</v>
      </c>
      <c r="G189">
        <v>30</v>
      </c>
      <c r="H189">
        <v>2099</v>
      </c>
      <c r="I189" t="s">
        <v>312</v>
      </c>
      <c r="J189" t="s">
        <v>25</v>
      </c>
      <c r="K189">
        <v>1100</v>
      </c>
      <c r="L189" s="7">
        <f t="shared" si="4"/>
        <v>62970</v>
      </c>
      <c r="M189" s="7">
        <f>dataset!$L189-T189</f>
        <v>29970</v>
      </c>
      <c r="N189" s="7">
        <f>dataset!$M189/dataset!$L189*100</f>
        <v>47.594092424964266</v>
      </c>
      <c r="O189" s="25">
        <f>dataset!$K189*dataset!$G189</f>
        <v>33000</v>
      </c>
      <c r="P189"/>
      <c r="T189">
        <f>dataset!$K189*dataset!$G189</f>
        <v>33000</v>
      </c>
    </row>
    <row r="190" spans="1:20" x14ac:dyDescent="0.35">
      <c r="A190" s="2">
        <v>45755</v>
      </c>
      <c r="B190">
        <f t="shared" si="5"/>
        <v>8</v>
      </c>
      <c r="C190" t="s">
        <v>29</v>
      </c>
      <c r="D190" t="s">
        <v>33</v>
      </c>
      <c r="E190" t="s">
        <v>67</v>
      </c>
      <c r="F190" t="s">
        <v>47</v>
      </c>
      <c r="G190">
        <v>17</v>
      </c>
      <c r="H190">
        <v>2161</v>
      </c>
      <c r="I190" t="s">
        <v>313</v>
      </c>
      <c r="J190" t="s">
        <v>15</v>
      </c>
      <c r="K190">
        <v>1850</v>
      </c>
      <c r="L190" s="7">
        <f t="shared" si="4"/>
        <v>36737</v>
      </c>
      <c r="M190" s="7">
        <f>dataset!$L190-T190</f>
        <v>5287</v>
      </c>
      <c r="N190" s="7">
        <f>dataset!$M190/dataset!$L190*100</f>
        <v>14.391485423415084</v>
      </c>
      <c r="O190" s="25">
        <f>dataset!$K190*dataset!$G190</f>
        <v>31450</v>
      </c>
      <c r="P190"/>
      <c r="T190">
        <f>dataset!$K190*dataset!$G190</f>
        <v>31450</v>
      </c>
    </row>
    <row r="191" spans="1:20" x14ac:dyDescent="0.35">
      <c r="A191" s="2">
        <v>45774</v>
      </c>
      <c r="B191">
        <f t="shared" si="5"/>
        <v>27</v>
      </c>
      <c r="C191" t="s">
        <v>35</v>
      </c>
      <c r="D191" t="s">
        <v>16</v>
      </c>
      <c r="E191" t="s">
        <v>67</v>
      </c>
      <c r="F191" t="s">
        <v>52</v>
      </c>
      <c r="G191">
        <v>10</v>
      </c>
      <c r="H191">
        <v>1221</v>
      </c>
      <c r="I191" t="s">
        <v>70</v>
      </c>
      <c r="J191" t="s">
        <v>15</v>
      </c>
      <c r="K191">
        <v>750</v>
      </c>
      <c r="L191" s="7">
        <f t="shared" si="4"/>
        <v>12210</v>
      </c>
      <c r="M191" s="7">
        <f>dataset!$L191-T191</f>
        <v>4710</v>
      </c>
      <c r="N191" s="7">
        <f>dataset!$M191/dataset!$L191*100</f>
        <v>38.574938574938578</v>
      </c>
      <c r="O191" s="25">
        <f>dataset!$K191*dataset!$G191</f>
        <v>7500</v>
      </c>
      <c r="P191"/>
      <c r="T191">
        <f>dataset!$K191*dataset!$G191</f>
        <v>7500</v>
      </c>
    </row>
    <row r="192" spans="1:20" x14ac:dyDescent="0.35">
      <c r="A192" s="2">
        <v>45807</v>
      </c>
      <c r="B192">
        <f t="shared" si="5"/>
        <v>30</v>
      </c>
      <c r="C192" t="s">
        <v>29</v>
      </c>
      <c r="D192" t="s">
        <v>11</v>
      </c>
      <c r="E192" t="s">
        <v>75</v>
      </c>
      <c r="F192" t="s">
        <v>23</v>
      </c>
      <c r="G192">
        <v>40</v>
      </c>
      <c r="H192">
        <v>1379</v>
      </c>
      <c r="I192" t="s">
        <v>314</v>
      </c>
      <c r="J192" t="s">
        <v>25</v>
      </c>
      <c r="K192">
        <v>850</v>
      </c>
      <c r="L192" s="7">
        <f t="shared" si="4"/>
        <v>55160</v>
      </c>
      <c r="M192" s="7">
        <f>dataset!$L192-T192</f>
        <v>21160</v>
      </c>
      <c r="N192" s="7">
        <f>dataset!$M192/dataset!$L192*100</f>
        <v>38.361131254532275</v>
      </c>
      <c r="O192" s="25">
        <f>dataset!$K192*dataset!$G192</f>
        <v>34000</v>
      </c>
      <c r="P192"/>
      <c r="T192">
        <f>dataset!$K192*dataset!$G192</f>
        <v>34000</v>
      </c>
    </row>
    <row r="193" spans="1:20" x14ac:dyDescent="0.35">
      <c r="A193" s="2">
        <v>45791</v>
      </c>
      <c r="B193">
        <f t="shared" si="5"/>
        <v>14</v>
      </c>
      <c r="C193" t="s">
        <v>29</v>
      </c>
      <c r="D193" t="s">
        <v>27</v>
      </c>
      <c r="E193" t="s">
        <v>64</v>
      </c>
      <c r="F193" t="s">
        <v>52</v>
      </c>
      <c r="G193">
        <v>6</v>
      </c>
      <c r="H193">
        <v>2450</v>
      </c>
      <c r="I193" t="s">
        <v>315</v>
      </c>
      <c r="J193" t="s">
        <v>25</v>
      </c>
      <c r="K193">
        <v>1250</v>
      </c>
      <c r="L193" s="7">
        <f t="shared" si="4"/>
        <v>14700</v>
      </c>
      <c r="M193" s="7">
        <f>dataset!$L193-T193</f>
        <v>7200</v>
      </c>
      <c r="N193" s="7">
        <f>dataset!$M193/dataset!$L193*100</f>
        <v>48.979591836734691</v>
      </c>
      <c r="O193" s="25">
        <f>dataset!$K193*dataset!$G193</f>
        <v>7500</v>
      </c>
      <c r="P193"/>
      <c r="T193">
        <f>dataset!$K193*dataset!$G193</f>
        <v>7500</v>
      </c>
    </row>
    <row r="194" spans="1:20" x14ac:dyDescent="0.35">
      <c r="A194" s="2">
        <v>45792</v>
      </c>
      <c r="B194">
        <f t="shared" si="5"/>
        <v>15</v>
      </c>
      <c r="C194" t="s">
        <v>35</v>
      </c>
      <c r="D194" t="s">
        <v>46</v>
      </c>
      <c r="E194" t="s">
        <v>75</v>
      </c>
      <c r="F194" t="s">
        <v>37</v>
      </c>
      <c r="G194">
        <v>40</v>
      </c>
      <c r="H194">
        <v>317</v>
      </c>
      <c r="I194" t="s">
        <v>316</v>
      </c>
      <c r="J194" t="s">
        <v>15</v>
      </c>
      <c r="K194">
        <v>250</v>
      </c>
      <c r="L194" s="7">
        <f t="shared" ref="L194:L257" si="6">G194*H194</f>
        <v>12680</v>
      </c>
      <c r="M194" s="7">
        <f>dataset!$L194-T194</f>
        <v>2680</v>
      </c>
      <c r="N194" s="7">
        <f>dataset!$M194/dataset!$L194*100</f>
        <v>21.135646687697161</v>
      </c>
      <c r="O194" s="25">
        <f>dataset!$K194*dataset!$G194</f>
        <v>10000</v>
      </c>
      <c r="P194"/>
      <c r="T194">
        <f>dataset!$K194*dataset!$G194</f>
        <v>10000</v>
      </c>
    </row>
    <row r="195" spans="1:20" x14ac:dyDescent="0.35">
      <c r="A195" s="2">
        <v>45771</v>
      </c>
      <c r="B195">
        <f t="shared" ref="B195:B258" si="7">DAY(A195)</f>
        <v>24</v>
      </c>
      <c r="C195" t="s">
        <v>26</v>
      </c>
      <c r="D195" t="s">
        <v>11</v>
      </c>
      <c r="E195" t="s">
        <v>75</v>
      </c>
      <c r="F195" t="s">
        <v>13</v>
      </c>
      <c r="G195">
        <v>8</v>
      </c>
      <c r="H195">
        <v>632</v>
      </c>
      <c r="I195" t="s">
        <v>317</v>
      </c>
      <c r="J195" t="s">
        <v>25</v>
      </c>
      <c r="K195">
        <v>400</v>
      </c>
      <c r="L195" s="7">
        <f t="shared" si="6"/>
        <v>5056</v>
      </c>
      <c r="M195" s="7">
        <f>dataset!$L195-T195</f>
        <v>1856</v>
      </c>
      <c r="N195" s="7">
        <f>dataset!$M195/dataset!$L195*100</f>
        <v>36.708860759493675</v>
      </c>
      <c r="O195" s="25">
        <f>dataset!$K195*dataset!$G195</f>
        <v>3200</v>
      </c>
      <c r="P195"/>
      <c r="T195">
        <f>dataset!$K195*dataset!$G195</f>
        <v>3200</v>
      </c>
    </row>
    <row r="196" spans="1:20" x14ac:dyDescent="0.35">
      <c r="A196" s="2">
        <v>45791</v>
      </c>
      <c r="B196">
        <f t="shared" si="7"/>
        <v>14</v>
      </c>
      <c r="C196" t="s">
        <v>10</v>
      </c>
      <c r="D196" t="s">
        <v>11</v>
      </c>
      <c r="E196" t="s">
        <v>54</v>
      </c>
      <c r="F196" t="s">
        <v>18</v>
      </c>
      <c r="G196">
        <v>22</v>
      </c>
      <c r="H196">
        <v>1045</v>
      </c>
      <c r="I196" t="s">
        <v>318</v>
      </c>
      <c r="J196" t="s">
        <v>15</v>
      </c>
      <c r="K196">
        <v>750</v>
      </c>
      <c r="L196" s="7">
        <f t="shared" si="6"/>
        <v>22990</v>
      </c>
      <c r="M196" s="7">
        <f>dataset!$L196-T196</f>
        <v>6490</v>
      </c>
      <c r="N196" s="7">
        <f>dataset!$M196/dataset!$L196*100</f>
        <v>28.229665071770331</v>
      </c>
      <c r="O196" s="25">
        <f>dataset!$K196*dataset!$G196</f>
        <v>16500</v>
      </c>
      <c r="P196"/>
      <c r="T196">
        <f>dataset!$K196*dataset!$G196</f>
        <v>16500</v>
      </c>
    </row>
    <row r="197" spans="1:20" x14ac:dyDescent="0.35">
      <c r="A197" s="2">
        <v>45782</v>
      </c>
      <c r="B197">
        <f t="shared" si="7"/>
        <v>5</v>
      </c>
      <c r="C197" t="s">
        <v>10</v>
      </c>
      <c r="D197" t="s">
        <v>36</v>
      </c>
      <c r="E197" t="s">
        <v>64</v>
      </c>
      <c r="F197" t="s">
        <v>37</v>
      </c>
      <c r="G197">
        <v>18</v>
      </c>
      <c r="H197">
        <v>1037</v>
      </c>
      <c r="I197" t="s">
        <v>319</v>
      </c>
      <c r="J197" t="s">
        <v>25</v>
      </c>
      <c r="K197">
        <v>800</v>
      </c>
      <c r="L197" s="7">
        <f t="shared" si="6"/>
        <v>18666</v>
      </c>
      <c r="M197" s="7">
        <f>dataset!$L197-T197</f>
        <v>4266</v>
      </c>
      <c r="N197" s="7">
        <f>dataset!$M197/dataset!$L197*100</f>
        <v>22.854387656702023</v>
      </c>
      <c r="O197" s="25">
        <f>dataset!$K197*dataset!$G197</f>
        <v>14400</v>
      </c>
      <c r="P197"/>
      <c r="T197">
        <f>dataset!$K197*dataset!$G197</f>
        <v>14400</v>
      </c>
    </row>
    <row r="198" spans="1:20" x14ac:dyDescent="0.35">
      <c r="A198" s="2">
        <v>45836</v>
      </c>
      <c r="B198">
        <f t="shared" si="7"/>
        <v>28</v>
      </c>
      <c r="C198" t="s">
        <v>10</v>
      </c>
      <c r="D198" t="s">
        <v>66</v>
      </c>
      <c r="E198" t="s">
        <v>22</v>
      </c>
      <c r="F198" t="s">
        <v>13</v>
      </c>
      <c r="G198">
        <v>15</v>
      </c>
      <c r="H198">
        <v>1673</v>
      </c>
      <c r="I198" t="s">
        <v>320</v>
      </c>
      <c r="J198" t="s">
        <v>25</v>
      </c>
      <c r="K198">
        <v>1050</v>
      </c>
      <c r="L198" s="7">
        <f t="shared" si="6"/>
        <v>25095</v>
      </c>
      <c r="M198" s="7">
        <f>dataset!$L198-T198</f>
        <v>9345</v>
      </c>
      <c r="N198" s="7">
        <f>dataset!$M198/dataset!$L198*100</f>
        <v>37.238493723849366</v>
      </c>
      <c r="O198" s="25">
        <f>dataset!$K198*dataset!$G198</f>
        <v>15750</v>
      </c>
      <c r="P198"/>
      <c r="T198">
        <f>dataset!$K198*dataset!$G198</f>
        <v>15750</v>
      </c>
    </row>
    <row r="199" spans="1:20" x14ac:dyDescent="0.35">
      <c r="A199" s="2">
        <v>45774</v>
      </c>
      <c r="B199">
        <f t="shared" si="7"/>
        <v>27</v>
      </c>
      <c r="C199" t="s">
        <v>29</v>
      </c>
      <c r="D199" t="s">
        <v>21</v>
      </c>
      <c r="E199" t="s">
        <v>42</v>
      </c>
      <c r="F199" t="s">
        <v>18</v>
      </c>
      <c r="G199">
        <v>37</v>
      </c>
      <c r="H199">
        <v>1929</v>
      </c>
      <c r="I199" t="s">
        <v>321</v>
      </c>
      <c r="J199" t="s">
        <v>15</v>
      </c>
      <c r="K199">
        <v>1550</v>
      </c>
      <c r="L199" s="7">
        <f t="shared" si="6"/>
        <v>71373</v>
      </c>
      <c r="M199" s="7">
        <f>dataset!$L199-T199</f>
        <v>14023</v>
      </c>
      <c r="N199" s="7">
        <f>dataset!$M199/dataset!$L199*100</f>
        <v>19.64748574390876</v>
      </c>
      <c r="O199" s="25">
        <f>dataset!$K199*dataset!$G199</f>
        <v>57350</v>
      </c>
      <c r="P199"/>
      <c r="T199">
        <f>dataset!$K199*dataset!$G199</f>
        <v>57350</v>
      </c>
    </row>
    <row r="200" spans="1:20" x14ac:dyDescent="0.35">
      <c r="A200" s="2">
        <v>45819</v>
      </c>
      <c r="B200">
        <f t="shared" si="7"/>
        <v>11</v>
      </c>
      <c r="C200" t="s">
        <v>26</v>
      </c>
      <c r="D200" t="s">
        <v>16</v>
      </c>
      <c r="E200" t="s">
        <v>75</v>
      </c>
      <c r="F200" t="s">
        <v>23</v>
      </c>
      <c r="G200">
        <v>23</v>
      </c>
      <c r="H200">
        <v>349</v>
      </c>
      <c r="I200" t="s">
        <v>322</v>
      </c>
      <c r="J200" t="s">
        <v>15</v>
      </c>
      <c r="K200">
        <v>200</v>
      </c>
      <c r="L200" s="7">
        <f t="shared" si="6"/>
        <v>8027</v>
      </c>
      <c r="M200" s="7">
        <f>dataset!$L200-T200</f>
        <v>3427</v>
      </c>
      <c r="N200" s="7">
        <f>dataset!$M200/dataset!$L200*100</f>
        <v>42.693409742120345</v>
      </c>
      <c r="O200" s="25">
        <f>dataset!$K200*dataset!$G200</f>
        <v>4600</v>
      </c>
      <c r="P200"/>
      <c r="T200">
        <f>dataset!$K200*dataset!$G200</f>
        <v>4600</v>
      </c>
    </row>
    <row r="201" spans="1:20" x14ac:dyDescent="0.35">
      <c r="A201" s="2">
        <v>45775</v>
      </c>
      <c r="B201">
        <f t="shared" si="7"/>
        <v>28</v>
      </c>
      <c r="C201" t="s">
        <v>10</v>
      </c>
      <c r="D201" t="s">
        <v>27</v>
      </c>
      <c r="E201" t="s">
        <v>22</v>
      </c>
      <c r="F201" t="s">
        <v>59</v>
      </c>
      <c r="G201">
        <v>7</v>
      </c>
      <c r="H201">
        <v>1359</v>
      </c>
      <c r="I201" t="s">
        <v>323</v>
      </c>
      <c r="J201" t="s">
        <v>15</v>
      </c>
      <c r="K201">
        <v>1200</v>
      </c>
      <c r="L201" s="7">
        <f t="shared" si="6"/>
        <v>9513</v>
      </c>
      <c r="M201" s="7">
        <f>dataset!$L201-T201</f>
        <v>1113</v>
      </c>
      <c r="N201" s="7">
        <f>dataset!$M201/dataset!$L201*100</f>
        <v>11.699779249448124</v>
      </c>
      <c r="O201" s="25">
        <f>dataset!$K201*dataset!$G201</f>
        <v>8400</v>
      </c>
      <c r="P201"/>
      <c r="T201">
        <f>dataset!$K201*dataset!$G201</f>
        <v>8400</v>
      </c>
    </row>
    <row r="202" spans="1:20" x14ac:dyDescent="0.35">
      <c r="A202" s="2">
        <v>45761</v>
      </c>
      <c r="B202">
        <f t="shared" si="7"/>
        <v>14</v>
      </c>
      <c r="C202" t="s">
        <v>29</v>
      </c>
      <c r="D202" t="s">
        <v>21</v>
      </c>
      <c r="E202" t="s">
        <v>12</v>
      </c>
      <c r="F202" t="s">
        <v>47</v>
      </c>
      <c r="G202">
        <v>13</v>
      </c>
      <c r="H202">
        <v>2212</v>
      </c>
      <c r="I202" t="s">
        <v>71</v>
      </c>
      <c r="J202" t="s">
        <v>25</v>
      </c>
      <c r="K202">
        <v>1750</v>
      </c>
      <c r="L202" s="7">
        <f t="shared" si="6"/>
        <v>28756</v>
      </c>
      <c r="M202" s="7">
        <f>dataset!$L202-T202</f>
        <v>6006</v>
      </c>
      <c r="N202" s="7">
        <f>dataset!$M202/dataset!$L202*100</f>
        <v>20.88607594936709</v>
      </c>
      <c r="O202" s="25">
        <f>dataset!$K202*dataset!$G202</f>
        <v>22750</v>
      </c>
      <c r="P202"/>
      <c r="T202">
        <f>dataset!$K202*dataset!$G202</f>
        <v>22750</v>
      </c>
    </row>
    <row r="203" spans="1:20" x14ac:dyDescent="0.35">
      <c r="A203" s="2">
        <v>45803</v>
      </c>
      <c r="B203">
        <f t="shared" si="7"/>
        <v>26</v>
      </c>
      <c r="C203" t="s">
        <v>10</v>
      </c>
      <c r="D203" t="s">
        <v>16</v>
      </c>
      <c r="E203" t="s">
        <v>75</v>
      </c>
      <c r="F203" t="s">
        <v>13</v>
      </c>
      <c r="G203">
        <v>44</v>
      </c>
      <c r="H203">
        <v>673</v>
      </c>
      <c r="I203" t="s">
        <v>324</v>
      </c>
      <c r="J203" t="s">
        <v>15</v>
      </c>
      <c r="K203">
        <v>500</v>
      </c>
      <c r="L203" s="7">
        <f t="shared" si="6"/>
        <v>29612</v>
      </c>
      <c r="M203" s="7">
        <f>dataset!$L203-T203</f>
        <v>7612</v>
      </c>
      <c r="N203" s="7">
        <f>dataset!$M203/dataset!$L203*100</f>
        <v>25.705794947994054</v>
      </c>
      <c r="O203" s="25">
        <f>dataset!$K203*dataset!$G203</f>
        <v>22000</v>
      </c>
      <c r="P203"/>
      <c r="T203">
        <f>dataset!$K203*dataset!$G203</f>
        <v>22000</v>
      </c>
    </row>
    <row r="204" spans="1:20" x14ac:dyDescent="0.35">
      <c r="A204" s="2">
        <v>45776</v>
      </c>
      <c r="B204">
        <f t="shared" si="7"/>
        <v>29</v>
      </c>
      <c r="C204" t="s">
        <v>35</v>
      </c>
      <c r="D204" t="s">
        <v>36</v>
      </c>
      <c r="E204" t="s">
        <v>39</v>
      </c>
      <c r="F204" t="s">
        <v>59</v>
      </c>
      <c r="G204">
        <v>25</v>
      </c>
      <c r="H204">
        <v>2942</v>
      </c>
      <c r="I204" t="s">
        <v>325</v>
      </c>
      <c r="J204" t="s">
        <v>25</v>
      </c>
      <c r="K204">
        <v>2200</v>
      </c>
      <c r="L204" s="7">
        <f t="shared" si="6"/>
        <v>73550</v>
      </c>
      <c r="M204" s="7">
        <f>dataset!$L204-T204</f>
        <v>18550</v>
      </c>
      <c r="N204" s="7">
        <f>dataset!$M204/dataset!$L204*100</f>
        <v>25.220938137321554</v>
      </c>
      <c r="O204" s="25">
        <f>dataset!$K204*dataset!$G204</f>
        <v>55000</v>
      </c>
      <c r="P204"/>
      <c r="T204">
        <f>dataset!$K204*dataset!$G204</f>
        <v>55000</v>
      </c>
    </row>
    <row r="205" spans="1:20" x14ac:dyDescent="0.35">
      <c r="A205" s="2">
        <v>45800</v>
      </c>
      <c r="B205">
        <f t="shared" si="7"/>
        <v>23</v>
      </c>
      <c r="C205" t="s">
        <v>29</v>
      </c>
      <c r="D205" t="s">
        <v>33</v>
      </c>
      <c r="E205" t="s">
        <v>12</v>
      </c>
      <c r="F205" t="s">
        <v>23</v>
      </c>
      <c r="G205">
        <v>24</v>
      </c>
      <c r="H205">
        <v>764</v>
      </c>
      <c r="I205" t="s">
        <v>326</v>
      </c>
      <c r="J205" t="s">
        <v>15</v>
      </c>
      <c r="K205">
        <v>600</v>
      </c>
      <c r="L205" s="7">
        <f t="shared" si="6"/>
        <v>18336</v>
      </c>
      <c r="M205" s="7">
        <f>dataset!$L205-T205</f>
        <v>3936</v>
      </c>
      <c r="N205" s="7">
        <f>dataset!$M205/dataset!$L205*100</f>
        <v>21.465968586387437</v>
      </c>
      <c r="O205" s="25">
        <f>dataset!$K205*dataset!$G205</f>
        <v>14400</v>
      </c>
      <c r="P205"/>
      <c r="T205">
        <f>dataset!$K205*dataset!$G205</f>
        <v>14400</v>
      </c>
    </row>
    <row r="206" spans="1:20" x14ac:dyDescent="0.35">
      <c r="A206" s="2">
        <v>45817</v>
      </c>
      <c r="B206">
        <f t="shared" si="7"/>
        <v>9</v>
      </c>
      <c r="C206" t="s">
        <v>20</v>
      </c>
      <c r="D206" t="s">
        <v>11</v>
      </c>
      <c r="E206" t="s">
        <v>39</v>
      </c>
      <c r="F206" t="s">
        <v>23</v>
      </c>
      <c r="G206">
        <v>41</v>
      </c>
      <c r="H206">
        <v>2559</v>
      </c>
      <c r="I206" t="s">
        <v>327</v>
      </c>
      <c r="J206" t="s">
        <v>25</v>
      </c>
      <c r="K206">
        <v>1400</v>
      </c>
      <c r="L206" s="7">
        <f t="shared" si="6"/>
        <v>104919</v>
      </c>
      <c r="M206" s="7">
        <f>dataset!$L206-T206</f>
        <v>47519</v>
      </c>
      <c r="N206" s="7">
        <f>dataset!$M206/dataset!$L206*100</f>
        <v>45.291129347401323</v>
      </c>
      <c r="O206" s="25">
        <f>dataset!$K206*dataset!$G206</f>
        <v>57400</v>
      </c>
      <c r="P206"/>
      <c r="T206">
        <f>dataset!$K206*dataset!$G206</f>
        <v>57400</v>
      </c>
    </row>
    <row r="207" spans="1:20" x14ac:dyDescent="0.35">
      <c r="A207" s="2">
        <v>45822</v>
      </c>
      <c r="B207">
        <f t="shared" si="7"/>
        <v>14</v>
      </c>
      <c r="C207" t="s">
        <v>20</v>
      </c>
      <c r="D207" t="s">
        <v>46</v>
      </c>
      <c r="E207" t="s">
        <v>12</v>
      </c>
      <c r="F207" t="s">
        <v>47</v>
      </c>
      <c r="G207">
        <v>17</v>
      </c>
      <c r="H207">
        <v>1962</v>
      </c>
      <c r="I207" t="s">
        <v>328</v>
      </c>
      <c r="J207" t="s">
        <v>15</v>
      </c>
      <c r="K207">
        <v>1450</v>
      </c>
      <c r="L207" s="7">
        <f t="shared" si="6"/>
        <v>33354</v>
      </c>
      <c r="M207" s="7">
        <f>dataset!$L207-T207</f>
        <v>8704</v>
      </c>
      <c r="N207" s="7">
        <f>dataset!$M207/dataset!$L207*100</f>
        <v>26.095820591233437</v>
      </c>
      <c r="O207" s="25">
        <f>dataset!$K207*dataset!$G207</f>
        <v>24650</v>
      </c>
      <c r="P207"/>
      <c r="T207">
        <f>dataset!$K207*dataset!$G207</f>
        <v>24650</v>
      </c>
    </row>
    <row r="208" spans="1:20" x14ac:dyDescent="0.35">
      <c r="A208" s="2">
        <v>45787</v>
      </c>
      <c r="B208">
        <f t="shared" si="7"/>
        <v>10</v>
      </c>
      <c r="C208" t="s">
        <v>29</v>
      </c>
      <c r="D208" t="s">
        <v>46</v>
      </c>
      <c r="E208" t="s">
        <v>17</v>
      </c>
      <c r="F208" t="s">
        <v>37</v>
      </c>
      <c r="G208">
        <v>15</v>
      </c>
      <c r="H208">
        <v>1291</v>
      </c>
      <c r="I208" t="s">
        <v>329</v>
      </c>
      <c r="J208" t="s">
        <v>15</v>
      </c>
      <c r="K208">
        <v>1100</v>
      </c>
      <c r="L208" s="7">
        <f t="shared" si="6"/>
        <v>19365</v>
      </c>
      <c r="M208" s="7">
        <f>dataset!$L208-T208</f>
        <v>2865</v>
      </c>
      <c r="N208" s="7">
        <f>dataset!$M208/dataset!$L208*100</f>
        <v>14.794732765298219</v>
      </c>
      <c r="O208" s="25">
        <f>dataset!$K208*dataset!$G208</f>
        <v>16500</v>
      </c>
      <c r="P208"/>
      <c r="T208">
        <f>dataset!$K208*dataset!$G208</f>
        <v>16500</v>
      </c>
    </row>
    <row r="209" spans="1:20" x14ac:dyDescent="0.35">
      <c r="A209" s="2">
        <v>45817</v>
      </c>
      <c r="B209">
        <f t="shared" si="7"/>
        <v>9</v>
      </c>
      <c r="C209" t="s">
        <v>20</v>
      </c>
      <c r="D209" t="s">
        <v>11</v>
      </c>
      <c r="E209" t="s">
        <v>64</v>
      </c>
      <c r="F209" t="s">
        <v>23</v>
      </c>
      <c r="G209">
        <v>34</v>
      </c>
      <c r="H209">
        <v>651</v>
      </c>
      <c r="I209" t="s">
        <v>330</v>
      </c>
      <c r="J209" t="s">
        <v>25</v>
      </c>
      <c r="K209">
        <v>550</v>
      </c>
      <c r="L209" s="7">
        <f t="shared" si="6"/>
        <v>22134</v>
      </c>
      <c r="M209" s="7">
        <f>dataset!$L209-T209</f>
        <v>3434</v>
      </c>
      <c r="N209" s="7">
        <f>dataset!$M209/dataset!$L209*100</f>
        <v>15.514592933947775</v>
      </c>
      <c r="O209" s="25">
        <f>dataset!$K209*dataset!$G209</f>
        <v>18700</v>
      </c>
      <c r="P209"/>
      <c r="T209">
        <f>dataset!$K209*dataset!$G209</f>
        <v>18700</v>
      </c>
    </row>
    <row r="210" spans="1:20" x14ac:dyDescent="0.35">
      <c r="A210" s="2">
        <v>45792</v>
      </c>
      <c r="B210">
        <f t="shared" si="7"/>
        <v>15</v>
      </c>
      <c r="C210" t="s">
        <v>20</v>
      </c>
      <c r="D210" t="s">
        <v>66</v>
      </c>
      <c r="E210" t="s">
        <v>39</v>
      </c>
      <c r="F210" t="s">
        <v>23</v>
      </c>
      <c r="G210">
        <v>35</v>
      </c>
      <c r="H210">
        <v>674</v>
      </c>
      <c r="I210" t="s">
        <v>331</v>
      </c>
      <c r="J210" t="s">
        <v>15</v>
      </c>
      <c r="K210">
        <v>550</v>
      </c>
      <c r="L210" s="7">
        <f t="shared" si="6"/>
        <v>23590</v>
      </c>
      <c r="M210" s="7">
        <f>dataset!$L210-T210</f>
        <v>4340</v>
      </c>
      <c r="N210" s="7">
        <f>dataset!$M210/dataset!$L210*100</f>
        <v>18.397626112759642</v>
      </c>
      <c r="O210" s="25">
        <f>dataset!$K210*dataset!$G210</f>
        <v>19250</v>
      </c>
      <c r="P210"/>
      <c r="T210">
        <f>dataset!$K210*dataset!$G210</f>
        <v>19250</v>
      </c>
    </row>
    <row r="211" spans="1:20" x14ac:dyDescent="0.35">
      <c r="A211" s="2">
        <v>45824</v>
      </c>
      <c r="B211">
        <f t="shared" si="7"/>
        <v>16</v>
      </c>
      <c r="C211" t="s">
        <v>20</v>
      </c>
      <c r="D211" t="s">
        <v>16</v>
      </c>
      <c r="E211" t="s">
        <v>54</v>
      </c>
      <c r="F211" t="s">
        <v>37</v>
      </c>
      <c r="G211">
        <v>17</v>
      </c>
      <c r="H211">
        <v>1738</v>
      </c>
      <c r="I211" t="s">
        <v>332</v>
      </c>
      <c r="J211" t="s">
        <v>25</v>
      </c>
      <c r="K211">
        <v>1100</v>
      </c>
      <c r="L211" s="7">
        <f t="shared" si="6"/>
        <v>29546</v>
      </c>
      <c r="M211" s="7">
        <f>dataset!$L211-T211</f>
        <v>10846</v>
      </c>
      <c r="N211" s="7">
        <f>dataset!$M211/dataset!$L211*100</f>
        <v>36.708860759493675</v>
      </c>
      <c r="O211" s="25">
        <f>dataset!$K211*dataset!$G211</f>
        <v>18700</v>
      </c>
      <c r="P211"/>
      <c r="T211">
        <f>dataset!$K211*dataset!$G211</f>
        <v>18700</v>
      </c>
    </row>
    <row r="212" spans="1:20" x14ac:dyDescent="0.35">
      <c r="A212" s="2">
        <v>45776</v>
      </c>
      <c r="B212">
        <f t="shared" si="7"/>
        <v>29</v>
      </c>
      <c r="C212" t="s">
        <v>26</v>
      </c>
      <c r="D212" t="s">
        <v>66</v>
      </c>
      <c r="E212" t="s">
        <v>64</v>
      </c>
      <c r="F212" t="s">
        <v>52</v>
      </c>
      <c r="G212">
        <v>43</v>
      </c>
      <c r="H212">
        <v>609</v>
      </c>
      <c r="I212" t="s">
        <v>333</v>
      </c>
      <c r="J212" t="s">
        <v>15</v>
      </c>
      <c r="K212">
        <v>400</v>
      </c>
      <c r="L212" s="7">
        <f t="shared" si="6"/>
        <v>26187</v>
      </c>
      <c r="M212" s="7">
        <f>dataset!$L212-T212</f>
        <v>8987</v>
      </c>
      <c r="N212" s="7">
        <f>dataset!$M212/dataset!$L212*100</f>
        <v>34.318555008210183</v>
      </c>
      <c r="O212" s="25">
        <f>dataset!$K212*dataset!$G212</f>
        <v>17200</v>
      </c>
      <c r="P212"/>
      <c r="T212">
        <f>dataset!$K212*dataset!$G212</f>
        <v>17200</v>
      </c>
    </row>
    <row r="213" spans="1:20" x14ac:dyDescent="0.35">
      <c r="A213" s="2">
        <v>45835</v>
      </c>
      <c r="B213">
        <f t="shared" si="7"/>
        <v>27</v>
      </c>
      <c r="C213" t="s">
        <v>35</v>
      </c>
      <c r="D213" t="s">
        <v>46</v>
      </c>
      <c r="E213" t="s">
        <v>30</v>
      </c>
      <c r="F213" t="s">
        <v>59</v>
      </c>
      <c r="G213">
        <v>24</v>
      </c>
      <c r="H213">
        <v>2071</v>
      </c>
      <c r="I213" t="s">
        <v>72</v>
      </c>
      <c r="J213" t="s">
        <v>15</v>
      </c>
      <c r="K213">
        <v>1700</v>
      </c>
      <c r="L213" s="7">
        <f t="shared" si="6"/>
        <v>49704</v>
      </c>
      <c r="M213" s="7">
        <f>dataset!$L213-T213</f>
        <v>8904</v>
      </c>
      <c r="N213" s="7">
        <f>dataset!$M213/dataset!$L213*100</f>
        <v>17.91405118300338</v>
      </c>
      <c r="O213" s="25">
        <f>dataset!$K213*dataset!$G213</f>
        <v>40800</v>
      </c>
      <c r="P213"/>
      <c r="T213">
        <f>dataset!$K213*dataset!$G213</f>
        <v>40800</v>
      </c>
    </row>
    <row r="214" spans="1:20" x14ac:dyDescent="0.35">
      <c r="A214" s="2">
        <v>45779</v>
      </c>
      <c r="B214">
        <f t="shared" si="7"/>
        <v>2</v>
      </c>
      <c r="C214" t="s">
        <v>10</v>
      </c>
      <c r="D214" t="s">
        <v>36</v>
      </c>
      <c r="E214" t="s">
        <v>67</v>
      </c>
      <c r="F214" t="s">
        <v>13</v>
      </c>
      <c r="G214">
        <v>19</v>
      </c>
      <c r="H214">
        <v>1348</v>
      </c>
      <c r="I214" t="s">
        <v>334</v>
      </c>
      <c r="J214" t="s">
        <v>25</v>
      </c>
      <c r="K214">
        <v>850</v>
      </c>
      <c r="L214" s="7">
        <f t="shared" si="6"/>
        <v>25612</v>
      </c>
      <c r="M214" s="7">
        <f>dataset!$L214-T214</f>
        <v>9462</v>
      </c>
      <c r="N214" s="7">
        <f>dataset!$M214/dataset!$L214*100</f>
        <v>36.943620178041542</v>
      </c>
      <c r="O214" s="25">
        <f>dataset!$K214*dataset!$G214</f>
        <v>16150</v>
      </c>
      <c r="P214"/>
      <c r="T214">
        <f>dataset!$K214*dataset!$G214</f>
        <v>16150</v>
      </c>
    </row>
    <row r="215" spans="1:20" x14ac:dyDescent="0.35">
      <c r="A215" s="2">
        <v>45823</v>
      </c>
      <c r="B215">
        <f t="shared" si="7"/>
        <v>15</v>
      </c>
      <c r="C215" t="s">
        <v>29</v>
      </c>
      <c r="D215" t="s">
        <v>66</v>
      </c>
      <c r="E215" t="s">
        <v>42</v>
      </c>
      <c r="F215" t="s">
        <v>23</v>
      </c>
      <c r="G215">
        <v>17</v>
      </c>
      <c r="H215">
        <v>1043</v>
      </c>
      <c r="I215" t="s">
        <v>335</v>
      </c>
      <c r="J215" t="s">
        <v>15</v>
      </c>
      <c r="K215">
        <v>650</v>
      </c>
      <c r="L215" s="7">
        <f t="shared" si="6"/>
        <v>17731</v>
      </c>
      <c r="M215" s="7">
        <f>dataset!$L215-T215</f>
        <v>6681</v>
      </c>
      <c r="N215" s="7">
        <f>dataset!$M215/dataset!$L215*100</f>
        <v>37.679769894534999</v>
      </c>
      <c r="O215" s="25">
        <f>dataset!$K215*dataset!$G215</f>
        <v>11050</v>
      </c>
      <c r="P215"/>
      <c r="T215">
        <f>dataset!$K215*dataset!$G215</f>
        <v>11050</v>
      </c>
    </row>
    <row r="216" spans="1:20" x14ac:dyDescent="0.35">
      <c r="A216" s="2">
        <v>45781</v>
      </c>
      <c r="B216">
        <f t="shared" si="7"/>
        <v>4</v>
      </c>
      <c r="C216" t="s">
        <v>26</v>
      </c>
      <c r="D216" t="s">
        <v>16</v>
      </c>
      <c r="E216" t="s">
        <v>39</v>
      </c>
      <c r="F216" t="s">
        <v>47</v>
      </c>
      <c r="G216">
        <v>21</v>
      </c>
      <c r="H216">
        <v>677</v>
      </c>
      <c r="I216" t="s">
        <v>336</v>
      </c>
      <c r="J216" t="s">
        <v>25</v>
      </c>
      <c r="K216">
        <v>400</v>
      </c>
      <c r="L216" s="7">
        <f t="shared" si="6"/>
        <v>14217</v>
      </c>
      <c r="M216" s="7">
        <f>dataset!$L216-T216</f>
        <v>5817</v>
      </c>
      <c r="N216" s="7">
        <f>dataset!$M216/dataset!$L216*100</f>
        <v>40.915805022156569</v>
      </c>
      <c r="O216" s="25">
        <f>dataset!$K216*dataset!$G216</f>
        <v>8400</v>
      </c>
      <c r="P216"/>
      <c r="T216">
        <f>dataset!$K216*dataset!$G216</f>
        <v>8400</v>
      </c>
    </row>
    <row r="217" spans="1:20" x14ac:dyDescent="0.35">
      <c r="A217" s="2">
        <v>45758</v>
      </c>
      <c r="B217">
        <f t="shared" si="7"/>
        <v>11</v>
      </c>
      <c r="C217" t="s">
        <v>29</v>
      </c>
      <c r="D217" t="s">
        <v>16</v>
      </c>
      <c r="E217" t="s">
        <v>30</v>
      </c>
      <c r="F217" t="s">
        <v>59</v>
      </c>
      <c r="G217">
        <v>12</v>
      </c>
      <c r="H217">
        <v>325</v>
      </c>
      <c r="I217" t="s">
        <v>337</v>
      </c>
      <c r="J217" t="s">
        <v>15</v>
      </c>
      <c r="K217">
        <v>200</v>
      </c>
      <c r="L217" s="7">
        <f t="shared" si="6"/>
        <v>3900</v>
      </c>
      <c r="M217" s="7">
        <f>dataset!$L217-T217</f>
        <v>1500</v>
      </c>
      <c r="N217" s="7">
        <f>dataset!$M217/dataset!$L217*100</f>
        <v>38.461538461538467</v>
      </c>
      <c r="O217" s="25">
        <f>dataset!$K217*dataset!$G217</f>
        <v>2400</v>
      </c>
      <c r="P217"/>
      <c r="T217">
        <f>dataset!$K217*dataset!$G217</f>
        <v>2400</v>
      </c>
    </row>
    <row r="218" spans="1:20" x14ac:dyDescent="0.35">
      <c r="A218" s="2">
        <v>45786</v>
      </c>
      <c r="B218">
        <f t="shared" si="7"/>
        <v>9</v>
      </c>
      <c r="C218" t="s">
        <v>20</v>
      </c>
      <c r="D218" t="s">
        <v>46</v>
      </c>
      <c r="E218" t="s">
        <v>75</v>
      </c>
      <c r="F218" t="s">
        <v>56</v>
      </c>
      <c r="G218">
        <v>50</v>
      </c>
      <c r="H218">
        <v>1082</v>
      </c>
      <c r="I218" t="s">
        <v>338</v>
      </c>
      <c r="J218" t="s">
        <v>15</v>
      </c>
      <c r="K218">
        <v>950</v>
      </c>
      <c r="L218" s="7">
        <f t="shared" si="6"/>
        <v>54100</v>
      </c>
      <c r="M218" s="7">
        <f>dataset!$L218-T218</f>
        <v>6600</v>
      </c>
      <c r="N218" s="7">
        <f>dataset!$M218/dataset!$L218*100</f>
        <v>12.199630314232902</v>
      </c>
      <c r="O218" s="25">
        <f>dataset!$K218*dataset!$G218</f>
        <v>47500</v>
      </c>
      <c r="P218"/>
      <c r="T218">
        <f>dataset!$K218*dataset!$G218</f>
        <v>47500</v>
      </c>
    </row>
    <row r="219" spans="1:20" x14ac:dyDescent="0.35">
      <c r="A219" s="2">
        <v>45782</v>
      </c>
      <c r="B219">
        <f t="shared" si="7"/>
        <v>5</v>
      </c>
      <c r="C219" t="s">
        <v>26</v>
      </c>
      <c r="D219" t="s">
        <v>21</v>
      </c>
      <c r="E219" t="s">
        <v>67</v>
      </c>
      <c r="F219" t="s">
        <v>23</v>
      </c>
      <c r="G219">
        <v>19</v>
      </c>
      <c r="H219">
        <v>952</v>
      </c>
      <c r="I219" t="s">
        <v>339</v>
      </c>
      <c r="J219" t="s">
        <v>15</v>
      </c>
      <c r="K219">
        <v>700</v>
      </c>
      <c r="L219" s="7">
        <f t="shared" si="6"/>
        <v>18088</v>
      </c>
      <c r="M219" s="7">
        <f>dataset!$L219-T219</f>
        <v>4788</v>
      </c>
      <c r="N219" s="7">
        <f>dataset!$M219/dataset!$L219*100</f>
        <v>26.47058823529412</v>
      </c>
      <c r="O219" s="25">
        <f>dataset!$K219*dataset!$G219</f>
        <v>13300</v>
      </c>
      <c r="P219"/>
      <c r="T219">
        <f>dataset!$K219*dataset!$G219</f>
        <v>13300</v>
      </c>
    </row>
    <row r="220" spans="1:20" x14ac:dyDescent="0.35">
      <c r="A220" s="2">
        <v>45778</v>
      </c>
      <c r="B220">
        <f t="shared" si="7"/>
        <v>1</v>
      </c>
      <c r="C220" t="s">
        <v>35</v>
      </c>
      <c r="D220" t="s">
        <v>33</v>
      </c>
      <c r="E220" t="s">
        <v>54</v>
      </c>
      <c r="F220" t="s">
        <v>37</v>
      </c>
      <c r="G220">
        <v>22</v>
      </c>
      <c r="H220">
        <v>516</v>
      </c>
      <c r="I220" t="s">
        <v>340</v>
      </c>
      <c r="J220" t="s">
        <v>15</v>
      </c>
      <c r="K220">
        <v>450</v>
      </c>
      <c r="L220" s="7">
        <f t="shared" si="6"/>
        <v>11352</v>
      </c>
      <c r="M220" s="7">
        <f>dataset!$L220-T220</f>
        <v>1452</v>
      </c>
      <c r="N220" s="7">
        <f>dataset!$M220/dataset!$L220*100</f>
        <v>12.790697674418606</v>
      </c>
      <c r="O220" s="25">
        <f>dataset!$K220*dataset!$G220</f>
        <v>9900</v>
      </c>
      <c r="P220"/>
      <c r="T220">
        <f>dataset!$K220*dataset!$G220</f>
        <v>9900</v>
      </c>
    </row>
    <row r="221" spans="1:20" x14ac:dyDescent="0.35">
      <c r="A221" s="2">
        <v>45791</v>
      </c>
      <c r="B221">
        <f t="shared" si="7"/>
        <v>14</v>
      </c>
      <c r="C221" t="s">
        <v>26</v>
      </c>
      <c r="D221" t="s">
        <v>46</v>
      </c>
      <c r="E221" t="s">
        <v>67</v>
      </c>
      <c r="F221" t="s">
        <v>47</v>
      </c>
      <c r="G221">
        <v>45</v>
      </c>
      <c r="H221">
        <v>1975</v>
      </c>
      <c r="I221" t="s">
        <v>341</v>
      </c>
      <c r="J221" t="s">
        <v>15</v>
      </c>
      <c r="K221">
        <v>1700</v>
      </c>
      <c r="L221" s="7">
        <f t="shared" si="6"/>
        <v>88875</v>
      </c>
      <c r="M221" s="7">
        <f>dataset!$L221-T221</f>
        <v>12375</v>
      </c>
      <c r="N221" s="7">
        <f>dataset!$M221/dataset!$L221*100</f>
        <v>13.924050632911392</v>
      </c>
      <c r="O221" s="25">
        <f>dataset!$K221*dataset!$G221</f>
        <v>76500</v>
      </c>
      <c r="P221"/>
      <c r="T221">
        <f>dataset!$K221*dataset!$G221</f>
        <v>76500</v>
      </c>
    </row>
    <row r="222" spans="1:20" x14ac:dyDescent="0.35">
      <c r="A222" s="2">
        <v>45831</v>
      </c>
      <c r="B222">
        <f t="shared" si="7"/>
        <v>23</v>
      </c>
      <c r="C222" t="s">
        <v>20</v>
      </c>
      <c r="D222" t="s">
        <v>46</v>
      </c>
      <c r="E222" t="s">
        <v>17</v>
      </c>
      <c r="F222" t="s">
        <v>37</v>
      </c>
      <c r="G222">
        <v>47</v>
      </c>
      <c r="H222">
        <v>1422</v>
      </c>
      <c r="I222" t="s">
        <v>342</v>
      </c>
      <c r="J222" t="s">
        <v>25</v>
      </c>
      <c r="K222">
        <v>1200</v>
      </c>
      <c r="L222" s="7">
        <f t="shared" si="6"/>
        <v>66834</v>
      </c>
      <c r="M222" s="7">
        <f>dataset!$L222-T222</f>
        <v>10434</v>
      </c>
      <c r="N222" s="7">
        <f>dataset!$M222/dataset!$L222*100</f>
        <v>15.611814345991561</v>
      </c>
      <c r="O222" s="25">
        <f>dataset!$K222*dataset!$G222</f>
        <v>56400</v>
      </c>
      <c r="P222"/>
      <c r="T222">
        <f>dataset!$K222*dataset!$G222</f>
        <v>56400</v>
      </c>
    </row>
    <row r="223" spans="1:20" x14ac:dyDescent="0.35">
      <c r="A223" s="2">
        <v>45792</v>
      </c>
      <c r="B223">
        <f t="shared" si="7"/>
        <v>15</v>
      </c>
      <c r="C223" t="s">
        <v>26</v>
      </c>
      <c r="D223" t="s">
        <v>46</v>
      </c>
      <c r="E223" t="s">
        <v>42</v>
      </c>
      <c r="F223" t="s">
        <v>56</v>
      </c>
      <c r="G223">
        <v>14</v>
      </c>
      <c r="H223">
        <v>2188</v>
      </c>
      <c r="I223" t="s">
        <v>343</v>
      </c>
      <c r="J223" t="s">
        <v>15</v>
      </c>
      <c r="K223">
        <v>1250</v>
      </c>
      <c r="L223" s="7">
        <f t="shared" si="6"/>
        <v>30632</v>
      </c>
      <c r="M223" s="7">
        <f>dataset!$L223-T223</f>
        <v>13132</v>
      </c>
      <c r="N223" s="7">
        <f>dataset!$M223/dataset!$L223*100</f>
        <v>42.870201096892139</v>
      </c>
      <c r="O223" s="25">
        <f>dataset!$K223*dataset!$G223</f>
        <v>17500</v>
      </c>
      <c r="P223"/>
      <c r="T223">
        <f>dataset!$K223*dataset!$G223</f>
        <v>17500</v>
      </c>
    </row>
    <row r="224" spans="1:20" x14ac:dyDescent="0.35">
      <c r="A224" s="2">
        <v>45798</v>
      </c>
      <c r="B224">
        <f t="shared" si="7"/>
        <v>21</v>
      </c>
      <c r="C224" t="s">
        <v>20</v>
      </c>
      <c r="D224" t="s">
        <v>21</v>
      </c>
      <c r="E224" t="s">
        <v>22</v>
      </c>
      <c r="F224" t="s">
        <v>23</v>
      </c>
      <c r="G224">
        <v>21</v>
      </c>
      <c r="H224">
        <v>1943</v>
      </c>
      <c r="I224" t="s">
        <v>24</v>
      </c>
      <c r="J224" t="s">
        <v>25</v>
      </c>
      <c r="K224">
        <v>1400</v>
      </c>
      <c r="L224" s="7">
        <f t="shared" si="6"/>
        <v>40803</v>
      </c>
      <c r="M224" s="7">
        <f>dataset!$L224-T224</f>
        <v>11403</v>
      </c>
      <c r="N224" s="7">
        <f>dataset!$M224/dataset!$L224*100</f>
        <v>27.946474523932064</v>
      </c>
      <c r="O224" s="25">
        <f>dataset!$K224*dataset!$G224</f>
        <v>29400</v>
      </c>
      <c r="P224"/>
      <c r="T224">
        <f>dataset!$K224*dataset!$G224</f>
        <v>29400</v>
      </c>
    </row>
    <row r="225" spans="1:20" x14ac:dyDescent="0.35">
      <c r="A225" s="2">
        <v>45827</v>
      </c>
      <c r="B225">
        <f t="shared" si="7"/>
        <v>19</v>
      </c>
      <c r="C225" t="s">
        <v>20</v>
      </c>
      <c r="D225" t="s">
        <v>16</v>
      </c>
      <c r="E225" t="s">
        <v>42</v>
      </c>
      <c r="F225" t="s">
        <v>56</v>
      </c>
      <c r="G225">
        <v>34</v>
      </c>
      <c r="H225">
        <v>2239</v>
      </c>
      <c r="I225" t="s">
        <v>73</v>
      </c>
      <c r="J225" t="s">
        <v>25</v>
      </c>
      <c r="K225">
        <v>1200</v>
      </c>
      <c r="L225" s="7">
        <f t="shared" si="6"/>
        <v>76126</v>
      </c>
      <c r="M225" s="7">
        <f>dataset!$L225-T225</f>
        <v>35326</v>
      </c>
      <c r="N225" s="7">
        <f>dataset!$M225/dataset!$L225*100</f>
        <v>46.404644930772662</v>
      </c>
      <c r="O225" s="25">
        <f>dataset!$K225*dataset!$G225</f>
        <v>40800</v>
      </c>
      <c r="P225"/>
      <c r="T225">
        <f>dataset!$K225*dataset!$G225</f>
        <v>40800</v>
      </c>
    </row>
    <row r="226" spans="1:20" x14ac:dyDescent="0.35">
      <c r="A226" s="2">
        <v>45756</v>
      </c>
      <c r="B226">
        <f t="shared" si="7"/>
        <v>9</v>
      </c>
      <c r="C226" t="s">
        <v>10</v>
      </c>
      <c r="D226" t="s">
        <v>11</v>
      </c>
      <c r="E226" t="s">
        <v>67</v>
      </c>
      <c r="F226" t="s">
        <v>18</v>
      </c>
      <c r="G226">
        <v>26</v>
      </c>
      <c r="H226">
        <v>2784</v>
      </c>
      <c r="I226" t="s">
        <v>344</v>
      </c>
      <c r="J226" t="s">
        <v>15</v>
      </c>
      <c r="K226">
        <v>2400</v>
      </c>
      <c r="L226" s="7">
        <f t="shared" si="6"/>
        <v>72384</v>
      </c>
      <c r="M226" s="7">
        <f>dataset!$L226-T226</f>
        <v>9984</v>
      </c>
      <c r="N226" s="7">
        <f>dataset!$M226/dataset!$L226*100</f>
        <v>13.793103448275861</v>
      </c>
      <c r="O226" s="25">
        <f>dataset!$K226*dataset!$G226</f>
        <v>62400</v>
      </c>
      <c r="P226"/>
      <c r="T226">
        <f>dataset!$K226*dataset!$G226</f>
        <v>62400</v>
      </c>
    </row>
    <row r="227" spans="1:20" x14ac:dyDescent="0.35">
      <c r="A227" s="2">
        <v>45804</v>
      </c>
      <c r="B227">
        <f t="shared" si="7"/>
        <v>27</v>
      </c>
      <c r="C227" t="s">
        <v>26</v>
      </c>
      <c r="D227" t="s">
        <v>16</v>
      </c>
      <c r="E227" t="s">
        <v>64</v>
      </c>
      <c r="F227" t="s">
        <v>56</v>
      </c>
      <c r="G227">
        <v>38</v>
      </c>
      <c r="H227">
        <v>942</v>
      </c>
      <c r="I227" t="s">
        <v>345</v>
      </c>
      <c r="J227" t="s">
        <v>15</v>
      </c>
      <c r="K227">
        <v>700</v>
      </c>
      <c r="L227" s="7">
        <f t="shared" si="6"/>
        <v>35796</v>
      </c>
      <c r="M227" s="7">
        <f>dataset!$L227-T227</f>
        <v>9196</v>
      </c>
      <c r="N227" s="7">
        <f>dataset!$M227/dataset!$L227*100</f>
        <v>25.690021231422506</v>
      </c>
      <c r="O227" s="25">
        <f>dataset!$K227*dataset!$G227</f>
        <v>26600</v>
      </c>
      <c r="P227"/>
      <c r="T227">
        <f>dataset!$K227*dataset!$G227</f>
        <v>26600</v>
      </c>
    </row>
    <row r="228" spans="1:20" x14ac:dyDescent="0.35">
      <c r="A228" s="2">
        <v>45763</v>
      </c>
      <c r="B228">
        <f t="shared" si="7"/>
        <v>16</v>
      </c>
      <c r="C228" t="s">
        <v>20</v>
      </c>
      <c r="D228" t="s">
        <v>11</v>
      </c>
      <c r="E228" t="s">
        <v>12</v>
      </c>
      <c r="F228" t="s">
        <v>37</v>
      </c>
      <c r="G228">
        <v>43</v>
      </c>
      <c r="H228">
        <v>1462</v>
      </c>
      <c r="I228" t="s">
        <v>346</v>
      </c>
      <c r="J228" t="s">
        <v>25</v>
      </c>
      <c r="K228">
        <v>1100</v>
      </c>
      <c r="L228" s="7">
        <f t="shared" si="6"/>
        <v>62866</v>
      </c>
      <c r="M228" s="7">
        <f>dataset!$L228-T228</f>
        <v>15566</v>
      </c>
      <c r="N228" s="7">
        <f>dataset!$M228/dataset!$L228*100</f>
        <v>24.760601915184679</v>
      </c>
      <c r="O228" s="25">
        <f>dataset!$K228*dataset!$G228</f>
        <v>47300</v>
      </c>
      <c r="P228"/>
      <c r="T228">
        <f>dataset!$K228*dataset!$G228</f>
        <v>47300</v>
      </c>
    </row>
    <row r="229" spans="1:20" x14ac:dyDescent="0.35">
      <c r="A229" s="2">
        <v>45779</v>
      </c>
      <c r="B229">
        <f t="shared" si="7"/>
        <v>2</v>
      </c>
      <c r="C229" t="s">
        <v>35</v>
      </c>
      <c r="D229" t="s">
        <v>11</v>
      </c>
      <c r="E229" t="s">
        <v>22</v>
      </c>
      <c r="F229" t="s">
        <v>56</v>
      </c>
      <c r="G229">
        <v>24</v>
      </c>
      <c r="H229">
        <v>2954</v>
      </c>
      <c r="I229" t="s">
        <v>347</v>
      </c>
      <c r="J229" t="s">
        <v>25</v>
      </c>
      <c r="K229">
        <v>1650</v>
      </c>
      <c r="L229" s="7">
        <f t="shared" si="6"/>
        <v>70896</v>
      </c>
      <c r="M229" s="7">
        <f>dataset!$L229-T229</f>
        <v>31296</v>
      </c>
      <c r="N229" s="7">
        <f>dataset!$M229/dataset!$L229*100</f>
        <v>44.143534190927561</v>
      </c>
      <c r="O229" s="25">
        <f>dataset!$K229*dataset!$G229</f>
        <v>39600</v>
      </c>
      <c r="P229"/>
      <c r="T229">
        <f>dataset!$K229*dataset!$G229</f>
        <v>39600</v>
      </c>
    </row>
    <row r="230" spans="1:20" x14ac:dyDescent="0.35">
      <c r="A230" s="2">
        <v>45777</v>
      </c>
      <c r="B230">
        <f t="shared" si="7"/>
        <v>30</v>
      </c>
      <c r="C230" t="s">
        <v>26</v>
      </c>
      <c r="D230" t="s">
        <v>66</v>
      </c>
      <c r="E230" t="s">
        <v>67</v>
      </c>
      <c r="F230" t="s">
        <v>47</v>
      </c>
      <c r="G230">
        <v>26</v>
      </c>
      <c r="H230">
        <v>334</v>
      </c>
      <c r="I230" t="s">
        <v>348</v>
      </c>
      <c r="J230" t="s">
        <v>15</v>
      </c>
      <c r="K230">
        <v>200</v>
      </c>
      <c r="L230" s="7">
        <f t="shared" si="6"/>
        <v>8684</v>
      </c>
      <c r="M230" s="7">
        <f>dataset!$L230-T230</f>
        <v>3484</v>
      </c>
      <c r="N230" s="7">
        <f>dataset!$M230/dataset!$L230*100</f>
        <v>40.119760479041915</v>
      </c>
      <c r="O230" s="25">
        <f>dataset!$K230*dataset!$G230</f>
        <v>5200</v>
      </c>
      <c r="P230"/>
      <c r="T230">
        <f>dataset!$K230*dataset!$G230</f>
        <v>5200</v>
      </c>
    </row>
    <row r="231" spans="1:20" x14ac:dyDescent="0.35">
      <c r="A231" s="2">
        <v>45750</v>
      </c>
      <c r="B231">
        <f t="shared" si="7"/>
        <v>3</v>
      </c>
      <c r="C231" t="s">
        <v>26</v>
      </c>
      <c r="D231" t="s">
        <v>27</v>
      </c>
      <c r="E231" t="s">
        <v>42</v>
      </c>
      <c r="F231" t="s">
        <v>47</v>
      </c>
      <c r="G231">
        <v>23</v>
      </c>
      <c r="H231">
        <v>1702</v>
      </c>
      <c r="I231" t="s">
        <v>349</v>
      </c>
      <c r="J231" t="s">
        <v>15</v>
      </c>
      <c r="K231">
        <v>900</v>
      </c>
      <c r="L231" s="7">
        <f t="shared" si="6"/>
        <v>39146</v>
      </c>
      <c r="M231" s="7">
        <f>dataset!$L231-T231</f>
        <v>18446</v>
      </c>
      <c r="N231" s="7">
        <f>dataset!$M231/dataset!$L231*100</f>
        <v>47.121034077555819</v>
      </c>
      <c r="O231" s="25">
        <f>dataset!$K231*dataset!$G231</f>
        <v>20700</v>
      </c>
      <c r="P231"/>
      <c r="T231">
        <f>dataset!$K231*dataset!$G231</f>
        <v>20700</v>
      </c>
    </row>
    <row r="232" spans="1:20" x14ac:dyDescent="0.35">
      <c r="A232" s="2">
        <v>45748</v>
      </c>
      <c r="B232">
        <f t="shared" si="7"/>
        <v>1</v>
      </c>
      <c r="C232" t="s">
        <v>26</v>
      </c>
      <c r="D232" t="s">
        <v>36</v>
      </c>
      <c r="E232" t="s">
        <v>39</v>
      </c>
      <c r="F232" t="s">
        <v>31</v>
      </c>
      <c r="G232">
        <v>28</v>
      </c>
      <c r="H232">
        <v>1482</v>
      </c>
      <c r="I232" t="s">
        <v>350</v>
      </c>
      <c r="J232" t="s">
        <v>15</v>
      </c>
      <c r="K232">
        <v>1150</v>
      </c>
      <c r="L232" s="7">
        <f t="shared" si="6"/>
        <v>41496</v>
      </c>
      <c r="M232" s="7">
        <f>dataset!$L232-T232</f>
        <v>9296</v>
      </c>
      <c r="N232" s="7">
        <f>dataset!$M232/dataset!$L232*100</f>
        <v>22.402159244264507</v>
      </c>
      <c r="O232" s="25">
        <f>dataset!$K232*dataset!$G232</f>
        <v>32200</v>
      </c>
      <c r="P232"/>
      <c r="T232">
        <f>dataset!$K232*dataset!$G232</f>
        <v>32200</v>
      </c>
    </row>
    <row r="233" spans="1:20" x14ac:dyDescent="0.35">
      <c r="A233" s="2">
        <v>45809</v>
      </c>
      <c r="B233">
        <f t="shared" si="7"/>
        <v>1</v>
      </c>
      <c r="C233" t="s">
        <v>35</v>
      </c>
      <c r="D233" t="s">
        <v>36</v>
      </c>
      <c r="E233" t="s">
        <v>39</v>
      </c>
      <c r="F233" t="s">
        <v>23</v>
      </c>
      <c r="G233">
        <v>25</v>
      </c>
      <c r="H233">
        <v>2701</v>
      </c>
      <c r="I233" t="s">
        <v>351</v>
      </c>
      <c r="J233" t="s">
        <v>15</v>
      </c>
      <c r="K233">
        <v>1900</v>
      </c>
      <c r="L233" s="7">
        <f t="shared" si="6"/>
        <v>67525</v>
      </c>
      <c r="M233" s="7">
        <f>dataset!$L233-T233</f>
        <v>20025</v>
      </c>
      <c r="N233" s="7">
        <f>dataset!$M233/dataset!$L233*100</f>
        <v>29.655683080340616</v>
      </c>
      <c r="O233" s="25">
        <f>dataset!$K233*dataset!$G233</f>
        <v>47500</v>
      </c>
      <c r="P233"/>
      <c r="T233">
        <f>dataset!$K233*dataset!$G233</f>
        <v>47500</v>
      </c>
    </row>
    <row r="234" spans="1:20" x14ac:dyDescent="0.35">
      <c r="A234" s="2">
        <v>45767</v>
      </c>
      <c r="B234">
        <f t="shared" si="7"/>
        <v>20</v>
      </c>
      <c r="C234" t="s">
        <v>29</v>
      </c>
      <c r="D234" t="s">
        <v>11</v>
      </c>
      <c r="E234" t="s">
        <v>67</v>
      </c>
      <c r="F234" t="s">
        <v>40</v>
      </c>
      <c r="G234">
        <v>34</v>
      </c>
      <c r="H234">
        <v>2196</v>
      </c>
      <c r="I234" t="s">
        <v>352</v>
      </c>
      <c r="J234" t="s">
        <v>25</v>
      </c>
      <c r="K234">
        <v>1250</v>
      </c>
      <c r="L234" s="7">
        <f t="shared" si="6"/>
        <v>74664</v>
      </c>
      <c r="M234" s="7">
        <f>dataset!$L234-T234</f>
        <v>32164</v>
      </c>
      <c r="N234" s="7">
        <f>dataset!$M234/dataset!$L234*100</f>
        <v>43.078324225865209</v>
      </c>
      <c r="O234" s="25">
        <f>dataset!$K234*dataset!$G234</f>
        <v>42500</v>
      </c>
      <c r="P234"/>
      <c r="T234">
        <f>dataset!$K234*dataset!$G234</f>
        <v>42500</v>
      </c>
    </row>
    <row r="235" spans="1:20" x14ac:dyDescent="0.35">
      <c r="A235" s="2">
        <v>45833</v>
      </c>
      <c r="B235">
        <f t="shared" si="7"/>
        <v>25</v>
      </c>
      <c r="C235" t="s">
        <v>20</v>
      </c>
      <c r="D235" t="s">
        <v>33</v>
      </c>
      <c r="E235" t="s">
        <v>42</v>
      </c>
      <c r="F235" t="s">
        <v>40</v>
      </c>
      <c r="G235">
        <v>8</v>
      </c>
      <c r="H235">
        <v>933</v>
      </c>
      <c r="I235" t="s">
        <v>353</v>
      </c>
      <c r="J235" t="s">
        <v>25</v>
      </c>
      <c r="K235">
        <v>650</v>
      </c>
      <c r="L235" s="7">
        <f t="shared" si="6"/>
        <v>7464</v>
      </c>
      <c r="M235" s="7">
        <f>dataset!$L235-T235</f>
        <v>2264</v>
      </c>
      <c r="N235" s="7">
        <f>dataset!$M235/dataset!$L235*100</f>
        <v>30.332261521972132</v>
      </c>
      <c r="O235" s="25">
        <f>dataset!$K235*dataset!$G235</f>
        <v>5200</v>
      </c>
      <c r="P235"/>
      <c r="T235">
        <f>dataset!$K235*dataset!$G235</f>
        <v>5200</v>
      </c>
    </row>
    <row r="236" spans="1:20" x14ac:dyDescent="0.35">
      <c r="A236" s="2">
        <v>45750</v>
      </c>
      <c r="B236">
        <f t="shared" si="7"/>
        <v>3</v>
      </c>
      <c r="C236" t="s">
        <v>26</v>
      </c>
      <c r="D236" t="s">
        <v>36</v>
      </c>
      <c r="E236" t="s">
        <v>42</v>
      </c>
      <c r="F236" t="s">
        <v>47</v>
      </c>
      <c r="G236">
        <v>38</v>
      </c>
      <c r="H236">
        <v>1305</v>
      </c>
      <c r="I236" t="s">
        <v>74</v>
      </c>
      <c r="J236" t="s">
        <v>15</v>
      </c>
      <c r="K236">
        <v>700</v>
      </c>
      <c r="L236" s="7">
        <f t="shared" si="6"/>
        <v>49590</v>
      </c>
      <c r="M236" s="7">
        <f>dataset!$L236-T236</f>
        <v>22990</v>
      </c>
      <c r="N236" s="7">
        <f>dataset!$M236/dataset!$L236*100</f>
        <v>46.360153256704983</v>
      </c>
      <c r="O236" s="25">
        <f>dataset!$K236*dataset!$G236</f>
        <v>26600</v>
      </c>
      <c r="P236"/>
      <c r="T236">
        <f>dataset!$K236*dataset!$G236</f>
        <v>26600</v>
      </c>
    </row>
    <row r="237" spans="1:20" x14ac:dyDescent="0.35">
      <c r="A237" s="2">
        <v>45816</v>
      </c>
      <c r="B237">
        <f t="shared" si="7"/>
        <v>8</v>
      </c>
      <c r="C237" t="s">
        <v>29</v>
      </c>
      <c r="D237" t="s">
        <v>46</v>
      </c>
      <c r="E237" t="s">
        <v>42</v>
      </c>
      <c r="F237" t="s">
        <v>40</v>
      </c>
      <c r="G237">
        <v>25</v>
      </c>
      <c r="H237">
        <v>2406</v>
      </c>
      <c r="I237" t="s">
        <v>354</v>
      </c>
      <c r="J237" t="s">
        <v>15</v>
      </c>
      <c r="K237">
        <v>1850</v>
      </c>
      <c r="L237" s="7">
        <f t="shared" si="6"/>
        <v>60150</v>
      </c>
      <c r="M237" s="7">
        <f>dataset!$L237-T237</f>
        <v>13900</v>
      </c>
      <c r="N237" s="7">
        <f>dataset!$M237/dataset!$L237*100</f>
        <v>23.10889443059019</v>
      </c>
      <c r="O237" s="25">
        <f>dataset!$K237*dataset!$G237</f>
        <v>46250</v>
      </c>
      <c r="P237"/>
      <c r="T237">
        <f>dataset!$K237*dataset!$G237</f>
        <v>46250</v>
      </c>
    </row>
    <row r="238" spans="1:20" x14ac:dyDescent="0.35">
      <c r="A238" s="2">
        <v>45803</v>
      </c>
      <c r="B238">
        <f t="shared" si="7"/>
        <v>26</v>
      </c>
      <c r="C238" t="s">
        <v>26</v>
      </c>
      <c r="D238" t="s">
        <v>66</v>
      </c>
      <c r="E238" t="s">
        <v>17</v>
      </c>
      <c r="F238" t="s">
        <v>37</v>
      </c>
      <c r="G238">
        <v>13</v>
      </c>
      <c r="H238">
        <v>1685</v>
      </c>
      <c r="I238" t="s">
        <v>355</v>
      </c>
      <c r="J238" t="s">
        <v>25</v>
      </c>
      <c r="K238">
        <v>1400</v>
      </c>
      <c r="L238" s="7">
        <f t="shared" si="6"/>
        <v>21905</v>
      </c>
      <c r="M238" s="7">
        <f>dataset!$L238-T238</f>
        <v>3705</v>
      </c>
      <c r="N238" s="7">
        <f>dataset!$M238/dataset!$L238*100</f>
        <v>16.913946587537094</v>
      </c>
      <c r="O238" s="25">
        <f>dataset!$K238*dataset!$G238</f>
        <v>18200</v>
      </c>
      <c r="P238"/>
      <c r="T238">
        <f>dataset!$K238*dataset!$G238</f>
        <v>18200</v>
      </c>
    </row>
    <row r="239" spans="1:20" x14ac:dyDescent="0.35">
      <c r="A239" s="2">
        <v>45826</v>
      </c>
      <c r="B239">
        <f t="shared" si="7"/>
        <v>18</v>
      </c>
      <c r="C239" t="s">
        <v>29</v>
      </c>
      <c r="D239" t="s">
        <v>16</v>
      </c>
      <c r="E239" t="s">
        <v>39</v>
      </c>
      <c r="F239" t="s">
        <v>47</v>
      </c>
      <c r="G239">
        <v>32</v>
      </c>
      <c r="H239">
        <v>2717</v>
      </c>
      <c r="I239" t="s">
        <v>356</v>
      </c>
      <c r="J239" t="s">
        <v>25</v>
      </c>
      <c r="K239">
        <v>2400</v>
      </c>
      <c r="L239" s="7">
        <f t="shared" si="6"/>
        <v>86944</v>
      </c>
      <c r="M239" s="7">
        <f>dataset!$L239-T239</f>
        <v>10144</v>
      </c>
      <c r="N239" s="7">
        <f>dataset!$M239/dataset!$L239*100</f>
        <v>11.667280088332719</v>
      </c>
      <c r="O239" s="25">
        <f>dataset!$K239*dataset!$G239</f>
        <v>76800</v>
      </c>
      <c r="P239"/>
      <c r="T239">
        <f>dataset!$K239*dataset!$G239</f>
        <v>76800</v>
      </c>
    </row>
    <row r="240" spans="1:20" x14ac:dyDescent="0.35">
      <c r="A240" s="2">
        <v>45759</v>
      </c>
      <c r="B240">
        <f t="shared" si="7"/>
        <v>12</v>
      </c>
      <c r="C240" t="s">
        <v>35</v>
      </c>
      <c r="D240" t="s">
        <v>16</v>
      </c>
      <c r="E240" t="s">
        <v>67</v>
      </c>
      <c r="F240" t="s">
        <v>23</v>
      </c>
      <c r="G240">
        <v>46</v>
      </c>
      <c r="H240">
        <v>2574</v>
      </c>
      <c r="I240" t="s">
        <v>357</v>
      </c>
      <c r="J240" t="s">
        <v>15</v>
      </c>
      <c r="K240">
        <v>2200</v>
      </c>
      <c r="L240" s="7">
        <f t="shared" si="6"/>
        <v>118404</v>
      </c>
      <c r="M240" s="7">
        <f>dataset!$L240-T240</f>
        <v>17204</v>
      </c>
      <c r="N240" s="7">
        <f>dataset!$M240/dataset!$L240*100</f>
        <v>14.529914529914532</v>
      </c>
      <c r="O240" s="25">
        <f>dataset!$K240*dataset!$G240</f>
        <v>101200</v>
      </c>
      <c r="P240"/>
      <c r="T240">
        <f>dataset!$K240*dataset!$G240</f>
        <v>101200</v>
      </c>
    </row>
    <row r="241" spans="1:20" x14ac:dyDescent="0.35">
      <c r="A241" s="2">
        <v>45817</v>
      </c>
      <c r="B241">
        <f t="shared" si="7"/>
        <v>9</v>
      </c>
      <c r="C241" t="s">
        <v>35</v>
      </c>
      <c r="D241" t="s">
        <v>46</v>
      </c>
      <c r="E241" t="s">
        <v>17</v>
      </c>
      <c r="F241" t="s">
        <v>47</v>
      </c>
      <c r="G241">
        <v>19</v>
      </c>
      <c r="H241">
        <v>2755</v>
      </c>
      <c r="I241" t="s">
        <v>358</v>
      </c>
      <c r="J241" t="s">
        <v>25</v>
      </c>
      <c r="K241">
        <v>2350</v>
      </c>
      <c r="L241" s="7">
        <f t="shared" si="6"/>
        <v>52345</v>
      </c>
      <c r="M241" s="7">
        <f>dataset!$L241-T241</f>
        <v>7695</v>
      </c>
      <c r="N241" s="7">
        <f>dataset!$M241/dataset!$L241*100</f>
        <v>14.700544464609798</v>
      </c>
      <c r="O241" s="25">
        <f>dataset!$K241*dataset!$G241</f>
        <v>44650</v>
      </c>
      <c r="P241"/>
      <c r="T241">
        <f>dataset!$K241*dataset!$G241</f>
        <v>44650</v>
      </c>
    </row>
    <row r="242" spans="1:20" x14ac:dyDescent="0.35">
      <c r="A242" s="2">
        <v>45837</v>
      </c>
      <c r="B242">
        <f t="shared" si="7"/>
        <v>29</v>
      </c>
      <c r="C242" t="s">
        <v>26</v>
      </c>
      <c r="D242" t="s">
        <v>27</v>
      </c>
      <c r="E242" t="s">
        <v>42</v>
      </c>
      <c r="F242" t="s">
        <v>31</v>
      </c>
      <c r="G242">
        <v>23</v>
      </c>
      <c r="H242">
        <v>1649</v>
      </c>
      <c r="I242" t="s">
        <v>359</v>
      </c>
      <c r="J242" t="s">
        <v>25</v>
      </c>
      <c r="K242">
        <v>1400</v>
      </c>
      <c r="L242" s="7">
        <f t="shared" si="6"/>
        <v>37927</v>
      </c>
      <c r="M242" s="7">
        <f>dataset!$L242-T242</f>
        <v>5727</v>
      </c>
      <c r="N242" s="7">
        <f>dataset!$M242/dataset!$L242*100</f>
        <v>15.100060642813826</v>
      </c>
      <c r="O242" s="25">
        <f>dataset!$K242*dataset!$G242</f>
        <v>32200</v>
      </c>
      <c r="P242"/>
      <c r="T242">
        <f>dataset!$K242*dataset!$G242</f>
        <v>32200</v>
      </c>
    </row>
    <row r="243" spans="1:20" x14ac:dyDescent="0.35">
      <c r="A243" s="2">
        <v>45835</v>
      </c>
      <c r="B243">
        <f t="shared" si="7"/>
        <v>27</v>
      </c>
      <c r="C243" t="s">
        <v>26</v>
      </c>
      <c r="D243" t="s">
        <v>46</v>
      </c>
      <c r="E243" t="s">
        <v>12</v>
      </c>
      <c r="F243" t="s">
        <v>59</v>
      </c>
      <c r="G243">
        <v>13</v>
      </c>
      <c r="H243">
        <v>1663</v>
      </c>
      <c r="I243" t="s">
        <v>360</v>
      </c>
      <c r="J243" t="s">
        <v>15</v>
      </c>
      <c r="K243">
        <v>1000</v>
      </c>
      <c r="L243" s="7">
        <f t="shared" si="6"/>
        <v>21619</v>
      </c>
      <c r="M243" s="7">
        <f>dataset!$L243-T243</f>
        <v>8619</v>
      </c>
      <c r="N243" s="7">
        <f>dataset!$M243/dataset!$L243*100</f>
        <v>39.867708959711365</v>
      </c>
      <c r="O243" s="25">
        <f>dataset!$K243*dataset!$G243</f>
        <v>13000</v>
      </c>
      <c r="P243"/>
      <c r="T243">
        <f>dataset!$K243*dataset!$G243</f>
        <v>13000</v>
      </c>
    </row>
    <row r="244" spans="1:20" x14ac:dyDescent="0.35">
      <c r="A244" s="2">
        <v>45800</v>
      </c>
      <c r="B244">
        <f t="shared" si="7"/>
        <v>23</v>
      </c>
      <c r="C244" t="s">
        <v>26</v>
      </c>
      <c r="D244" t="s">
        <v>27</v>
      </c>
      <c r="E244" t="s">
        <v>64</v>
      </c>
      <c r="F244" t="s">
        <v>18</v>
      </c>
      <c r="G244">
        <v>9</v>
      </c>
      <c r="H244">
        <v>1245</v>
      </c>
      <c r="I244" t="s">
        <v>361</v>
      </c>
      <c r="J244" t="s">
        <v>25</v>
      </c>
      <c r="K244">
        <v>750</v>
      </c>
      <c r="L244" s="7">
        <f t="shared" si="6"/>
        <v>11205</v>
      </c>
      <c r="M244" s="7">
        <f>dataset!$L244-T244</f>
        <v>4455</v>
      </c>
      <c r="N244" s="7">
        <f>dataset!$M244/dataset!$L244*100</f>
        <v>39.75903614457831</v>
      </c>
      <c r="O244" s="25">
        <f>dataset!$K244*dataset!$G244</f>
        <v>6750</v>
      </c>
      <c r="P244"/>
      <c r="T244">
        <f>dataset!$K244*dataset!$G244</f>
        <v>6750</v>
      </c>
    </row>
    <row r="245" spans="1:20" x14ac:dyDescent="0.35">
      <c r="A245" s="2">
        <v>45817</v>
      </c>
      <c r="B245">
        <f t="shared" si="7"/>
        <v>9</v>
      </c>
      <c r="C245" t="s">
        <v>10</v>
      </c>
      <c r="D245" t="s">
        <v>27</v>
      </c>
      <c r="E245" t="s">
        <v>64</v>
      </c>
      <c r="F245" t="s">
        <v>13</v>
      </c>
      <c r="G245">
        <v>5</v>
      </c>
      <c r="H245">
        <v>692</v>
      </c>
      <c r="I245" t="s">
        <v>362</v>
      </c>
      <c r="J245" t="s">
        <v>25</v>
      </c>
      <c r="K245">
        <v>500</v>
      </c>
      <c r="L245" s="7">
        <f t="shared" si="6"/>
        <v>3460</v>
      </c>
      <c r="M245" s="7">
        <f>dataset!$L245-T245</f>
        <v>960</v>
      </c>
      <c r="N245" s="7">
        <f>dataset!$M245/dataset!$L245*100</f>
        <v>27.74566473988439</v>
      </c>
      <c r="O245" s="25">
        <f>dataset!$K245*dataset!$G245</f>
        <v>2500</v>
      </c>
      <c r="P245"/>
      <c r="T245">
        <f>dataset!$K245*dataset!$G245</f>
        <v>2500</v>
      </c>
    </row>
    <row r="246" spans="1:20" x14ac:dyDescent="0.35">
      <c r="A246" s="2">
        <v>45812</v>
      </c>
      <c r="B246">
        <f t="shared" si="7"/>
        <v>4</v>
      </c>
      <c r="C246" t="s">
        <v>26</v>
      </c>
      <c r="D246" t="s">
        <v>21</v>
      </c>
      <c r="E246" t="s">
        <v>42</v>
      </c>
      <c r="F246" t="s">
        <v>47</v>
      </c>
      <c r="G246">
        <v>22</v>
      </c>
      <c r="H246">
        <v>1110</v>
      </c>
      <c r="I246" t="s">
        <v>363</v>
      </c>
      <c r="J246" t="s">
        <v>15</v>
      </c>
      <c r="K246">
        <v>750</v>
      </c>
      <c r="L246" s="7">
        <f t="shared" si="6"/>
        <v>24420</v>
      </c>
      <c r="M246" s="7">
        <f>dataset!$L246-T246</f>
        <v>7920</v>
      </c>
      <c r="N246" s="7">
        <f>dataset!$M246/dataset!$L246*100</f>
        <v>32.432432432432435</v>
      </c>
      <c r="O246" s="25">
        <f>dataset!$K246*dataset!$G246</f>
        <v>16500</v>
      </c>
      <c r="P246"/>
      <c r="T246">
        <f>dataset!$K246*dataset!$G246</f>
        <v>16500</v>
      </c>
    </row>
    <row r="247" spans="1:20" x14ac:dyDescent="0.35">
      <c r="A247" s="2">
        <v>45761</v>
      </c>
      <c r="B247">
        <f t="shared" si="7"/>
        <v>14</v>
      </c>
      <c r="C247" t="s">
        <v>10</v>
      </c>
      <c r="D247" t="s">
        <v>46</v>
      </c>
      <c r="E247" t="s">
        <v>75</v>
      </c>
      <c r="F247" t="s">
        <v>18</v>
      </c>
      <c r="G247">
        <v>43</v>
      </c>
      <c r="H247">
        <v>2869</v>
      </c>
      <c r="I247" t="s">
        <v>76</v>
      </c>
      <c r="J247" t="s">
        <v>15</v>
      </c>
      <c r="K247">
        <v>2350</v>
      </c>
      <c r="L247" s="7">
        <f t="shared" si="6"/>
        <v>123367</v>
      </c>
      <c r="M247" s="7">
        <f>dataset!$L247-T247</f>
        <v>22317</v>
      </c>
      <c r="N247" s="7">
        <f>dataset!$M247/dataset!$L247*100</f>
        <v>18.089926803764378</v>
      </c>
      <c r="O247" s="25">
        <f>dataset!$K247*dataset!$G247</f>
        <v>101050</v>
      </c>
      <c r="P247"/>
      <c r="T247">
        <f>dataset!$K247*dataset!$G247</f>
        <v>101050</v>
      </c>
    </row>
    <row r="248" spans="1:20" x14ac:dyDescent="0.35">
      <c r="A248" s="2">
        <v>45795</v>
      </c>
      <c r="B248">
        <f t="shared" si="7"/>
        <v>18</v>
      </c>
      <c r="C248" t="s">
        <v>29</v>
      </c>
      <c r="D248" t="s">
        <v>27</v>
      </c>
      <c r="E248" t="s">
        <v>17</v>
      </c>
      <c r="F248" t="s">
        <v>56</v>
      </c>
      <c r="G248">
        <v>26</v>
      </c>
      <c r="H248">
        <v>2663</v>
      </c>
      <c r="I248" t="s">
        <v>364</v>
      </c>
      <c r="J248" t="s">
        <v>25</v>
      </c>
      <c r="K248">
        <v>1500</v>
      </c>
      <c r="L248" s="7">
        <f t="shared" si="6"/>
        <v>69238</v>
      </c>
      <c r="M248" s="7">
        <f>dataset!$L248-T248</f>
        <v>30238</v>
      </c>
      <c r="N248" s="7">
        <f>dataset!$M248/dataset!$L248*100</f>
        <v>43.672549755914382</v>
      </c>
      <c r="O248" s="25">
        <f>dataset!$K248*dataset!$G248</f>
        <v>39000</v>
      </c>
      <c r="P248"/>
      <c r="T248">
        <f>dataset!$K248*dataset!$G248</f>
        <v>39000</v>
      </c>
    </row>
    <row r="249" spans="1:20" x14ac:dyDescent="0.35">
      <c r="A249" s="2">
        <v>45814</v>
      </c>
      <c r="B249">
        <f t="shared" si="7"/>
        <v>6</v>
      </c>
      <c r="C249" t="s">
        <v>20</v>
      </c>
      <c r="D249" t="s">
        <v>21</v>
      </c>
      <c r="E249" t="s">
        <v>22</v>
      </c>
      <c r="F249" t="s">
        <v>37</v>
      </c>
      <c r="G249">
        <v>34</v>
      </c>
      <c r="H249">
        <v>1283</v>
      </c>
      <c r="I249" t="s">
        <v>365</v>
      </c>
      <c r="J249" t="s">
        <v>25</v>
      </c>
      <c r="K249">
        <v>700</v>
      </c>
      <c r="L249" s="7">
        <f t="shared" si="6"/>
        <v>43622</v>
      </c>
      <c r="M249" s="7">
        <f>dataset!$L249-T249</f>
        <v>19822</v>
      </c>
      <c r="N249" s="7">
        <f>dataset!$M249/dataset!$L249*100</f>
        <v>45.440374123148871</v>
      </c>
      <c r="O249" s="25">
        <f>dataset!$K249*dataset!$G249</f>
        <v>23800</v>
      </c>
      <c r="P249"/>
      <c r="T249">
        <f>dataset!$K249*dataset!$G249</f>
        <v>23800</v>
      </c>
    </row>
    <row r="250" spans="1:20" x14ac:dyDescent="0.35">
      <c r="A250" s="2">
        <v>45767</v>
      </c>
      <c r="B250">
        <f t="shared" si="7"/>
        <v>20</v>
      </c>
      <c r="C250" t="s">
        <v>29</v>
      </c>
      <c r="D250" t="s">
        <v>21</v>
      </c>
      <c r="E250" t="s">
        <v>64</v>
      </c>
      <c r="F250" t="s">
        <v>40</v>
      </c>
      <c r="G250">
        <v>35</v>
      </c>
      <c r="H250">
        <v>818</v>
      </c>
      <c r="I250" t="s">
        <v>366</v>
      </c>
      <c r="J250" t="s">
        <v>25</v>
      </c>
      <c r="K250">
        <v>400</v>
      </c>
      <c r="L250" s="7">
        <f t="shared" si="6"/>
        <v>28630</v>
      </c>
      <c r="M250" s="7">
        <f>dataset!$L250-T250</f>
        <v>14630</v>
      </c>
      <c r="N250" s="7">
        <f>dataset!$M250/dataset!$L250*100</f>
        <v>51.100244498777499</v>
      </c>
      <c r="O250" s="25">
        <f>dataset!$K250*dataset!$G250</f>
        <v>14000</v>
      </c>
      <c r="P250"/>
      <c r="T250">
        <f>dataset!$K250*dataset!$G250</f>
        <v>14000</v>
      </c>
    </row>
    <row r="251" spans="1:20" x14ac:dyDescent="0.35">
      <c r="A251" s="2">
        <v>45821</v>
      </c>
      <c r="B251">
        <f t="shared" si="7"/>
        <v>13</v>
      </c>
      <c r="C251" t="s">
        <v>20</v>
      </c>
      <c r="D251" t="s">
        <v>16</v>
      </c>
      <c r="E251" t="s">
        <v>12</v>
      </c>
      <c r="F251" t="s">
        <v>37</v>
      </c>
      <c r="G251">
        <v>17</v>
      </c>
      <c r="H251">
        <v>1435</v>
      </c>
      <c r="I251" t="s">
        <v>367</v>
      </c>
      <c r="J251" t="s">
        <v>15</v>
      </c>
      <c r="K251">
        <v>750</v>
      </c>
      <c r="L251" s="7">
        <f t="shared" si="6"/>
        <v>24395</v>
      </c>
      <c r="M251" s="7">
        <f>dataset!$L251-T251</f>
        <v>11645</v>
      </c>
      <c r="N251" s="7">
        <f>dataset!$M251/dataset!$L251*100</f>
        <v>47.735191637630663</v>
      </c>
      <c r="O251" s="25">
        <f>dataset!$K251*dataset!$G251</f>
        <v>12750</v>
      </c>
      <c r="P251"/>
      <c r="T251">
        <f>dataset!$K251*dataset!$G251</f>
        <v>12750</v>
      </c>
    </row>
    <row r="252" spans="1:20" x14ac:dyDescent="0.35">
      <c r="A252" s="2">
        <v>45771</v>
      </c>
      <c r="B252">
        <f t="shared" si="7"/>
        <v>24</v>
      </c>
      <c r="C252" t="s">
        <v>26</v>
      </c>
      <c r="D252" t="s">
        <v>46</v>
      </c>
      <c r="E252" t="s">
        <v>64</v>
      </c>
      <c r="F252" t="s">
        <v>37</v>
      </c>
      <c r="G252">
        <v>42</v>
      </c>
      <c r="H252">
        <v>303</v>
      </c>
      <c r="I252" t="s">
        <v>368</v>
      </c>
      <c r="J252" t="s">
        <v>25</v>
      </c>
      <c r="K252">
        <v>200</v>
      </c>
      <c r="L252" s="7">
        <f t="shared" si="6"/>
        <v>12726</v>
      </c>
      <c r="M252" s="7">
        <f>dataset!$L252-T252</f>
        <v>4326</v>
      </c>
      <c r="N252" s="7">
        <f>dataset!$M252/dataset!$L252*100</f>
        <v>33.993399339933994</v>
      </c>
      <c r="O252" s="25">
        <f>dataset!$K252*dataset!$G252</f>
        <v>8400</v>
      </c>
      <c r="P252"/>
      <c r="T252">
        <f>dataset!$K252*dataset!$G252</f>
        <v>8400</v>
      </c>
    </row>
    <row r="253" spans="1:20" x14ac:dyDescent="0.35">
      <c r="A253" s="2">
        <v>45785</v>
      </c>
      <c r="B253">
        <f t="shared" si="7"/>
        <v>8</v>
      </c>
      <c r="C253" t="s">
        <v>35</v>
      </c>
      <c r="D253" t="s">
        <v>46</v>
      </c>
      <c r="E253" t="s">
        <v>30</v>
      </c>
      <c r="F253" t="s">
        <v>52</v>
      </c>
      <c r="G253">
        <v>46</v>
      </c>
      <c r="H253">
        <v>2828</v>
      </c>
      <c r="I253" t="s">
        <v>369</v>
      </c>
      <c r="J253" t="s">
        <v>15</v>
      </c>
      <c r="K253">
        <v>1500</v>
      </c>
      <c r="L253" s="7">
        <f t="shared" si="6"/>
        <v>130088</v>
      </c>
      <c r="M253" s="7">
        <f>dataset!$L253-T253</f>
        <v>61088</v>
      </c>
      <c r="N253" s="7">
        <f>dataset!$M253/dataset!$L253*100</f>
        <v>46.958981612446962</v>
      </c>
      <c r="O253" s="25">
        <f>dataset!$K253*dataset!$G253</f>
        <v>69000</v>
      </c>
      <c r="P253"/>
      <c r="T253">
        <f>dataset!$K253*dataset!$G253</f>
        <v>69000</v>
      </c>
    </row>
    <row r="254" spans="1:20" x14ac:dyDescent="0.35">
      <c r="A254" s="2">
        <v>45771</v>
      </c>
      <c r="B254">
        <f t="shared" si="7"/>
        <v>24</v>
      </c>
      <c r="C254" t="s">
        <v>29</v>
      </c>
      <c r="D254" t="s">
        <v>46</v>
      </c>
      <c r="E254" t="s">
        <v>64</v>
      </c>
      <c r="F254" t="s">
        <v>56</v>
      </c>
      <c r="G254">
        <v>32</v>
      </c>
      <c r="H254">
        <v>1315</v>
      </c>
      <c r="I254" t="s">
        <v>370</v>
      </c>
      <c r="J254" t="s">
        <v>15</v>
      </c>
      <c r="K254">
        <v>1000</v>
      </c>
      <c r="L254" s="7">
        <f t="shared" si="6"/>
        <v>42080</v>
      </c>
      <c r="M254" s="7">
        <f>dataset!$L254-T254</f>
        <v>10080</v>
      </c>
      <c r="N254" s="7">
        <f>dataset!$M254/dataset!$L254*100</f>
        <v>23.954372623574145</v>
      </c>
      <c r="O254" s="25">
        <f>dataset!$K254*dataset!$G254</f>
        <v>32000</v>
      </c>
      <c r="P254"/>
      <c r="T254">
        <f>dataset!$K254*dataset!$G254</f>
        <v>32000</v>
      </c>
    </row>
    <row r="255" spans="1:20" x14ac:dyDescent="0.35">
      <c r="A255" s="2">
        <v>45749</v>
      </c>
      <c r="B255">
        <f t="shared" si="7"/>
        <v>2</v>
      </c>
      <c r="C255" t="s">
        <v>20</v>
      </c>
      <c r="D255" t="s">
        <v>33</v>
      </c>
      <c r="E255" t="s">
        <v>12</v>
      </c>
      <c r="F255" t="s">
        <v>56</v>
      </c>
      <c r="G255">
        <v>42</v>
      </c>
      <c r="H255">
        <v>1933</v>
      </c>
      <c r="I255" t="s">
        <v>371</v>
      </c>
      <c r="J255" t="s">
        <v>25</v>
      </c>
      <c r="K255">
        <v>1150</v>
      </c>
      <c r="L255" s="7">
        <f t="shared" si="6"/>
        <v>81186</v>
      </c>
      <c r="M255" s="7">
        <f>dataset!$L255-T255</f>
        <v>32886</v>
      </c>
      <c r="N255" s="7">
        <f>dataset!$M255/dataset!$L255*100</f>
        <v>40.506983962752194</v>
      </c>
      <c r="O255" s="25">
        <f>dataset!$K255*dataset!$G255</f>
        <v>48300</v>
      </c>
      <c r="P255"/>
      <c r="T255">
        <f>dataset!$K255*dataset!$G255</f>
        <v>48300</v>
      </c>
    </row>
    <row r="256" spans="1:20" x14ac:dyDescent="0.35">
      <c r="A256" s="2">
        <v>45785</v>
      </c>
      <c r="B256">
        <f t="shared" si="7"/>
        <v>8</v>
      </c>
      <c r="C256" t="s">
        <v>20</v>
      </c>
      <c r="D256" t="s">
        <v>46</v>
      </c>
      <c r="E256" t="s">
        <v>39</v>
      </c>
      <c r="F256" t="s">
        <v>40</v>
      </c>
      <c r="G256">
        <v>10</v>
      </c>
      <c r="H256">
        <v>707</v>
      </c>
      <c r="I256" t="s">
        <v>372</v>
      </c>
      <c r="J256" t="s">
        <v>15</v>
      </c>
      <c r="K256">
        <v>500</v>
      </c>
      <c r="L256" s="7">
        <f t="shared" si="6"/>
        <v>7070</v>
      </c>
      <c r="M256" s="7">
        <f>dataset!$L256-T256</f>
        <v>2070</v>
      </c>
      <c r="N256" s="7">
        <f>dataset!$M256/dataset!$L256*100</f>
        <v>29.278642149929279</v>
      </c>
      <c r="O256" s="25">
        <f>dataset!$K256*dataset!$G256</f>
        <v>5000</v>
      </c>
      <c r="P256"/>
      <c r="T256">
        <f>dataset!$K256*dataset!$G256</f>
        <v>5000</v>
      </c>
    </row>
    <row r="257" spans="1:20" x14ac:dyDescent="0.35">
      <c r="A257" s="2">
        <v>45762</v>
      </c>
      <c r="B257">
        <f t="shared" si="7"/>
        <v>15</v>
      </c>
      <c r="C257" t="s">
        <v>10</v>
      </c>
      <c r="D257" t="s">
        <v>36</v>
      </c>
      <c r="E257" t="s">
        <v>42</v>
      </c>
      <c r="F257" t="s">
        <v>23</v>
      </c>
      <c r="G257">
        <v>40</v>
      </c>
      <c r="H257">
        <v>2052</v>
      </c>
      <c r="I257" t="s">
        <v>373</v>
      </c>
      <c r="J257" t="s">
        <v>25</v>
      </c>
      <c r="K257">
        <v>1500</v>
      </c>
      <c r="L257" s="7">
        <f t="shared" si="6"/>
        <v>82080</v>
      </c>
      <c r="M257" s="7">
        <f>dataset!$L257-T257</f>
        <v>22080</v>
      </c>
      <c r="N257" s="7">
        <f>dataset!$M257/dataset!$L257*100</f>
        <v>26.900584795321635</v>
      </c>
      <c r="O257" s="25">
        <f>dataset!$K257*dataset!$G257</f>
        <v>60000</v>
      </c>
      <c r="P257"/>
      <c r="T257">
        <f>dataset!$K257*dataset!$G257</f>
        <v>60000</v>
      </c>
    </row>
    <row r="258" spans="1:20" x14ac:dyDescent="0.35">
      <c r="A258" s="2">
        <v>45833</v>
      </c>
      <c r="B258">
        <f t="shared" si="7"/>
        <v>25</v>
      </c>
      <c r="C258" t="s">
        <v>20</v>
      </c>
      <c r="D258" t="s">
        <v>11</v>
      </c>
      <c r="E258" t="s">
        <v>22</v>
      </c>
      <c r="F258" t="s">
        <v>56</v>
      </c>
      <c r="G258">
        <v>48</v>
      </c>
      <c r="H258">
        <v>702</v>
      </c>
      <c r="I258" t="s">
        <v>77</v>
      </c>
      <c r="J258" t="s">
        <v>25</v>
      </c>
      <c r="K258">
        <v>500</v>
      </c>
      <c r="L258" s="7">
        <f t="shared" ref="L258:L321" si="8">G258*H258</f>
        <v>33696</v>
      </c>
      <c r="M258" s="7">
        <f>dataset!$L258-T258</f>
        <v>9696</v>
      </c>
      <c r="N258" s="7">
        <f>dataset!$M258/dataset!$L258*100</f>
        <v>28.774928774928775</v>
      </c>
      <c r="O258" s="25">
        <f>dataset!$K258*dataset!$G258</f>
        <v>24000</v>
      </c>
      <c r="P258"/>
      <c r="T258">
        <f>dataset!$K258*dataset!$G258</f>
        <v>24000</v>
      </c>
    </row>
    <row r="259" spans="1:20" x14ac:dyDescent="0.35">
      <c r="A259" s="2">
        <v>45813</v>
      </c>
      <c r="B259">
        <f t="shared" ref="B259:B322" si="9">DAY(A259)</f>
        <v>5</v>
      </c>
      <c r="C259" t="s">
        <v>26</v>
      </c>
      <c r="D259" t="s">
        <v>66</v>
      </c>
      <c r="E259" t="s">
        <v>39</v>
      </c>
      <c r="F259" t="s">
        <v>47</v>
      </c>
      <c r="G259">
        <v>10</v>
      </c>
      <c r="H259">
        <v>2013</v>
      </c>
      <c r="I259" t="s">
        <v>374</v>
      </c>
      <c r="J259" t="s">
        <v>15</v>
      </c>
      <c r="K259">
        <v>1150</v>
      </c>
      <c r="L259" s="7">
        <f t="shared" si="8"/>
        <v>20130</v>
      </c>
      <c r="M259" s="7">
        <f>dataset!$L259-T259</f>
        <v>8630</v>
      </c>
      <c r="N259" s="7">
        <f>dataset!$M259/dataset!$L259*100</f>
        <v>42.871336313959262</v>
      </c>
      <c r="O259" s="25">
        <f>dataset!$K259*dataset!$G259</f>
        <v>11500</v>
      </c>
      <c r="P259"/>
      <c r="T259">
        <f>dataset!$K259*dataset!$G259</f>
        <v>11500</v>
      </c>
    </row>
    <row r="260" spans="1:20" x14ac:dyDescent="0.35">
      <c r="A260" s="2">
        <v>45763</v>
      </c>
      <c r="B260">
        <f t="shared" si="9"/>
        <v>16</v>
      </c>
      <c r="C260" t="s">
        <v>20</v>
      </c>
      <c r="D260" t="s">
        <v>21</v>
      </c>
      <c r="E260" t="s">
        <v>30</v>
      </c>
      <c r="F260" t="s">
        <v>40</v>
      </c>
      <c r="G260">
        <v>8</v>
      </c>
      <c r="H260">
        <v>1747</v>
      </c>
      <c r="I260" t="s">
        <v>375</v>
      </c>
      <c r="J260" t="s">
        <v>15</v>
      </c>
      <c r="K260">
        <v>1050</v>
      </c>
      <c r="L260" s="7">
        <f t="shared" si="8"/>
        <v>13976</v>
      </c>
      <c r="M260" s="7">
        <f>dataset!$L260-T260</f>
        <v>5576</v>
      </c>
      <c r="N260" s="7">
        <f>dataset!$M260/dataset!$L260*100</f>
        <v>39.896966227819121</v>
      </c>
      <c r="O260" s="25">
        <f>dataset!$K260*dataset!$G260</f>
        <v>8400</v>
      </c>
      <c r="P260"/>
      <c r="T260">
        <f>dataset!$K260*dataset!$G260</f>
        <v>8400</v>
      </c>
    </row>
    <row r="261" spans="1:20" x14ac:dyDescent="0.35">
      <c r="A261" s="2">
        <v>45795</v>
      </c>
      <c r="B261">
        <f t="shared" si="9"/>
        <v>18</v>
      </c>
      <c r="C261" t="s">
        <v>20</v>
      </c>
      <c r="D261" t="s">
        <v>21</v>
      </c>
      <c r="E261" t="s">
        <v>54</v>
      </c>
      <c r="F261" t="s">
        <v>56</v>
      </c>
      <c r="G261">
        <v>46</v>
      </c>
      <c r="H261">
        <v>636</v>
      </c>
      <c r="I261" t="s">
        <v>376</v>
      </c>
      <c r="J261" t="s">
        <v>15</v>
      </c>
      <c r="K261">
        <v>400</v>
      </c>
      <c r="L261" s="7">
        <f t="shared" si="8"/>
        <v>29256</v>
      </c>
      <c r="M261" s="7">
        <f>dataset!$L261-T261</f>
        <v>10856</v>
      </c>
      <c r="N261" s="7">
        <f>dataset!$M261/dataset!$L261*100</f>
        <v>37.106918238993707</v>
      </c>
      <c r="O261" s="25">
        <f>dataset!$K261*dataset!$G261</f>
        <v>18400</v>
      </c>
      <c r="P261"/>
      <c r="T261">
        <f>dataset!$K261*dataset!$G261</f>
        <v>18400</v>
      </c>
    </row>
    <row r="262" spans="1:20" x14ac:dyDescent="0.35">
      <c r="A262" s="2">
        <v>45801</v>
      </c>
      <c r="B262">
        <f t="shared" si="9"/>
        <v>24</v>
      </c>
      <c r="C262" t="s">
        <v>20</v>
      </c>
      <c r="D262" t="s">
        <v>27</v>
      </c>
      <c r="E262" t="s">
        <v>75</v>
      </c>
      <c r="F262" t="s">
        <v>56</v>
      </c>
      <c r="G262">
        <v>19</v>
      </c>
      <c r="H262">
        <v>1046</v>
      </c>
      <c r="I262" t="s">
        <v>377</v>
      </c>
      <c r="J262" t="s">
        <v>15</v>
      </c>
      <c r="K262">
        <v>600</v>
      </c>
      <c r="L262" s="7">
        <f t="shared" si="8"/>
        <v>19874</v>
      </c>
      <c r="M262" s="7">
        <f>dataset!$L262-T262</f>
        <v>8474</v>
      </c>
      <c r="N262" s="7">
        <f>dataset!$M262/dataset!$L262*100</f>
        <v>42.638623326959845</v>
      </c>
      <c r="O262" s="25">
        <f>dataset!$K262*dataset!$G262</f>
        <v>11400</v>
      </c>
      <c r="P262"/>
      <c r="T262">
        <f>dataset!$K262*dataset!$G262</f>
        <v>11400</v>
      </c>
    </row>
    <row r="263" spans="1:20" x14ac:dyDescent="0.35">
      <c r="A263" s="2">
        <v>45763</v>
      </c>
      <c r="B263">
        <f t="shared" si="9"/>
        <v>16</v>
      </c>
      <c r="C263" t="s">
        <v>29</v>
      </c>
      <c r="D263" t="s">
        <v>27</v>
      </c>
      <c r="E263" t="s">
        <v>67</v>
      </c>
      <c r="F263" t="s">
        <v>59</v>
      </c>
      <c r="G263">
        <v>36</v>
      </c>
      <c r="H263">
        <v>1959</v>
      </c>
      <c r="I263" t="s">
        <v>378</v>
      </c>
      <c r="J263" t="s">
        <v>15</v>
      </c>
      <c r="K263">
        <v>1250</v>
      </c>
      <c r="L263" s="7">
        <f t="shared" si="8"/>
        <v>70524</v>
      </c>
      <c r="M263" s="7">
        <f>dataset!$L263-T263</f>
        <v>25524</v>
      </c>
      <c r="N263" s="7">
        <f>dataset!$M263/dataset!$L263*100</f>
        <v>36.191934660541094</v>
      </c>
      <c r="O263" s="25">
        <f>dataset!$K263*dataset!$G263</f>
        <v>45000</v>
      </c>
      <c r="P263"/>
      <c r="T263">
        <f>dataset!$K263*dataset!$G263</f>
        <v>45000</v>
      </c>
    </row>
    <row r="264" spans="1:20" x14ac:dyDescent="0.35">
      <c r="A264" s="2">
        <v>45814</v>
      </c>
      <c r="B264">
        <f t="shared" si="9"/>
        <v>6</v>
      </c>
      <c r="C264" t="s">
        <v>20</v>
      </c>
      <c r="D264" t="s">
        <v>16</v>
      </c>
      <c r="E264" t="s">
        <v>54</v>
      </c>
      <c r="F264" t="s">
        <v>59</v>
      </c>
      <c r="G264">
        <v>30</v>
      </c>
      <c r="H264">
        <v>1384</v>
      </c>
      <c r="I264" t="s">
        <v>379</v>
      </c>
      <c r="J264" t="s">
        <v>25</v>
      </c>
      <c r="K264">
        <v>750</v>
      </c>
      <c r="L264" s="7">
        <f t="shared" si="8"/>
        <v>41520</v>
      </c>
      <c r="M264" s="7">
        <f>dataset!$L264-T264</f>
        <v>19020</v>
      </c>
      <c r="N264" s="7">
        <f>dataset!$M264/dataset!$L264*100</f>
        <v>45.809248554913296</v>
      </c>
      <c r="O264" s="25">
        <f>dataset!$K264*dataset!$G264</f>
        <v>22500</v>
      </c>
      <c r="P264"/>
      <c r="T264">
        <f>dataset!$K264*dataset!$G264</f>
        <v>22500</v>
      </c>
    </row>
    <row r="265" spans="1:20" x14ac:dyDescent="0.35">
      <c r="A265" s="2">
        <v>45796</v>
      </c>
      <c r="B265">
        <f t="shared" si="9"/>
        <v>19</v>
      </c>
      <c r="C265" t="s">
        <v>10</v>
      </c>
      <c r="D265" t="s">
        <v>27</v>
      </c>
      <c r="E265" t="s">
        <v>64</v>
      </c>
      <c r="F265" t="s">
        <v>40</v>
      </c>
      <c r="G265">
        <v>35</v>
      </c>
      <c r="H265">
        <v>1491</v>
      </c>
      <c r="I265" t="s">
        <v>380</v>
      </c>
      <c r="J265" t="s">
        <v>15</v>
      </c>
      <c r="K265">
        <v>900</v>
      </c>
      <c r="L265" s="7">
        <f t="shared" si="8"/>
        <v>52185</v>
      </c>
      <c r="M265" s="7">
        <f>dataset!$L265-T265</f>
        <v>20685</v>
      </c>
      <c r="N265" s="7">
        <f>dataset!$M265/dataset!$L265*100</f>
        <v>39.637826961770621</v>
      </c>
      <c r="O265" s="25">
        <f>dataset!$K265*dataset!$G265</f>
        <v>31500</v>
      </c>
      <c r="P265"/>
      <c r="T265">
        <f>dataset!$K265*dataset!$G265</f>
        <v>31500</v>
      </c>
    </row>
    <row r="266" spans="1:20" x14ac:dyDescent="0.35">
      <c r="A266" s="2">
        <v>45823</v>
      </c>
      <c r="B266">
        <f t="shared" si="9"/>
        <v>15</v>
      </c>
      <c r="C266" t="s">
        <v>35</v>
      </c>
      <c r="D266" t="s">
        <v>66</v>
      </c>
      <c r="E266" t="s">
        <v>42</v>
      </c>
      <c r="F266" t="s">
        <v>52</v>
      </c>
      <c r="G266">
        <v>5</v>
      </c>
      <c r="H266">
        <v>949</v>
      </c>
      <c r="I266" t="s">
        <v>381</v>
      </c>
      <c r="J266" t="s">
        <v>25</v>
      </c>
      <c r="K266">
        <v>650</v>
      </c>
      <c r="L266" s="7">
        <f t="shared" si="8"/>
        <v>4745</v>
      </c>
      <c r="M266" s="7">
        <f>dataset!$L266-T266</f>
        <v>1495</v>
      </c>
      <c r="N266" s="7">
        <f>dataset!$M266/dataset!$L266*100</f>
        <v>31.506849315068493</v>
      </c>
      <c r="O266" s="25">
        <f>dataset!$K266*dataset!$G266</f>
        <v>3250</v>
      </c>
      <c r="P266"/>
      <c r="T266">
        <f>dataset!$K266*dataset!$G266</f>
        <v>3250</v>
      </c>
    </row>
    <row r="267" spans="1:20" x14ac:dyDescent="0.35">
      <c r="A267" s="2">
        <v>45830</v>
      </c>
      <c r="B267">
        <f t="shared" si="9"/>
        <v>22</v>
      </c>
      <c r="C267" t="s">
        <v>10</v>
      </c>
      <c r="D267" t="s">
        <v>21</v>
      </c>
      <c r="E267" t="s">
        <v>67</v>
      </c>
      <c r="F267" t="s">
        <v>40</v>
      </c>
      <c r="G267">
        <v>29</v>
      </c>
      <c r="H267">
        <v>2279</v>
      </c>
      <c r="I267" t="s">
        <v>382</v>
      </c>
      <c r="J267" t="s">
        <v>15</v>
      </c>
      <c r="K267">
        <v>1300</v>
      </c>
      <c r="L267" s="7">
        <f t="shared" si="8"/>
        <v>66091</v>
      </c>
      <c r="M267" s="7">
        <f>dataset!$L267-T267</f>
        <v>28391</v>
      </c>
      <c r="N267" s="7">
        <f>dataset!$M267/dataset!$L267*100</f>
        <v>42.957437472575691</v>
      </c>
      <c r="O267" s="25">
        <f>dataset!$K267*dataset!$G267</f>
        <v>37700</v>
      </c>
      <c r="P267"/>
      <c r="T267">
        <f>dataset!$K267*dataset!$G267</f>
        <v>37700</v>
      </c>
    </row>
    <row r="268" spans="1:20" x14ac:dyDescent="0.35">
      <c r="A268" s="2">
        <v>45770</v>
      </c>
      <c r="B268">
        <f t="shared" si="9"/>
        <v>23</v>
      </c>
      <c r="C268" t="s">
        <v>29</v>
      </c>
      <c r="D268" t="s">
        <v>66</v>
      </c>
      <c r="E268" t="s">
        <v>39</v>
      </c>
      <c r="F268" t="s">
        <v>18</v>
      </c>
      <c r="G268">
        <v>47</v>
      </c>
      <c r="H268">
        <v>1103</v>
      </c>
      <c r="I268" t="s">
        <v>383</v>
      </c>
      <c r="J268" t="s">
        <v>15</v>
      </c>
      <c r="K268">
        <v>750</v>
      </c>
      <c r="L268" s="7">
        <f t="shared" si="8"/>
        <v>51841</v>
      </c>
      <c r="M268" s="7">
        <f>dataset!$L268-T268</f>
        <v>16591</v>
      </c>
      <c r="N268" s="7">
        <f>dataset!$M268/dataset!$L268*100</f>
        <v>32.003626473254762</v>
      </c>
      <c r="O268" s="25">
        <f>dataset!$K268*dataset!$G268</f>
        <v>35250</v>
      </c>
      <c r="P268"/>
      <c r="T268">
        <f>dataset!$K268*dataset!$G268</f>
        <v>35250</v>
      </c>
    </row>
    <row r="269" spans="1:20" x14ac:dyDescent="0.35">
      <c r="A269" s="2">
        <v>45762</v>
      </c>
      <c r="B269">
        <f t="shared" si="9"/>
        <v>15</v>
      </c>
      <c r="C269" t="s">
        <v>26</v>
      </c>
      <c r="D269" t="s">
        <v>33</v>
      </c>
      <c r="E269" t="s">
        <v>39</v>
      </c>
      <c r="F269" t="s">
        <v>23</v>
      </c>
      <c r="G269">
        <v>44</v>
      </c>
      <c r="H269">
        <v>1561</v>
      </c>
      <c r="I269" t="s">
        <v>78</v>
      </c>
      <c r="J269" t="s">
        <v>25</v>
      </c>
      <c r="K269">
        <v>800</v>
      </c>
      <c r="L269" s="7">
        <f t="shared" si="8"/>
        <v>68684</v>
      </c>
      <c r="M269" s="7">
        <f>dataset!$L269-T269</f>
        <v>33484</v>
      </c>
      <c r="N269" s="7">
        <f>dataset!$M269/dataset!$L269*100</f>
        <v>48.750800768737989</v>
      </c>
      <c r="O269" s="25">
        <f>dataset!$K269*dataset!$G269</f>
        <v>35200</v>
      </c>
      <c r="P269"/>
      <c r="T269">
        <f>dataset!$K269*dataset!$G269</f>
        <v>35200</v>
      </c>
    </row>
    <row r="270" spans="1:20" x14ac:dyDescent="0.35">
      <c r="A270" s="2">
        <v>45803</v>
      </c>
      <c r="B270">
        <f t="shared" si="9"/>
        <v>26</v>
      </c>
      <c r="C270" t="s">
        <v>35</v>
      </c>
      <c r="D270" t="s">
        <v>33</v>
      </c>
      <c r="E270" t="s">
        <v>64</v>
      </c>
      <c r="F270" t="s">
        <v>40</v>
      </c>
      <c r="G270">
        <v>22</v>
      </c>
      <c r="H270">
        <v>476</v>
      </c>
      <c r="I270" t="s">
        <v>384</v>
      </c>
      <c r="J270" t="s">
        <v>15</v>
      </c>
      <c r="K270">
        <v>450</v>
      </c>
      <c r="L270" s="7">
        <f t="shared" si="8"/>
        <v>10472</v>
      </c>
      <c r="M270" s="7">
        <f>dataset!$L270-T270</f>
        <v>572</v>
      </c>
      <c r="N270" s="7">
        <f>dataset!$M270/dataset!$L270*100</f>
        <v>5.46218487394958</v>
      </c>
      <c r="O270" s="25">
        <f>dataset!$K270*dataset!$G270</f>
        <v>9900</v>
      </c>
      <c r="P270"/>
      <c r="T270">
        <f>dataset!$K270*dataset!$G270</f>
        <v>9900</v>
      </c>
    </row>
    <row r="271" spans="1:20" x14ac:dyDescent="0.35">
      <c r="A271" s="2">
        <v>45830</v>
      </c>
      <c r="B271">
        <f t="shared" si="9"/>
        <v>22</v>
      </c>
      <c r="C271" t="s">
        <v>26</v>
      </c>
      <c r="D271" t="s">
        <v>36</v>
      </c>
      <c r="E271" t="s">
        <v>12</v>
      </c>
      <c r="F271" t="s">
        <v>59</v>
      </c>
      <c r="G271">
        <v>44</v>
      </c>
      <c r="H271">
        <v>1248</v>
      </c>
      <c r="I271" t="s">
        <v>385</v>
      </c>
      <c r="J271" t="s">
        <v>15</v>
      </c>
      <c r="K271">
        <v>1050</v>
      </c>
      <c r="L271" s="7">
        <f t="shared" si="8"/>
        <v>54912</v>
      </c>
      <c r="M271" s="7">
        <f>dataset!$L271-T271</f>
        <v>8712</v>
      </c>
      <c r="N271" s="7">
        <f>dataset!$M271/dataset!$L271*100</f>
        <v>15.865384615384615</v>
      </c>
      <c r="O271" s="25">
        <f>dataset!$K271*dataset!$G271</f>
        <v>46200</v>
      </c>
      <c r="P271"/>
      <c r="T271">
        <f>dataset!$K271*dataset!$G271</f>
        <v>46200</v>
      </c>
    </row>
    <row r="272" spans="1:20" x14ac:dyDescent="0.35">
      <c r="A272" s="2">
        <v>45796</v>
      </c>
      <c r="B272">
        <f t="shared" si="9"/>
        <v>19</v>
      </c>
      <c r="C272" t="s">
        <v>35</v>
      </c>
      <c r="D272" t="s">
        <v>46</v>
      </c>
      <c r="E272" t="s">
        <v>39</v>
      </c>
      <c r="F272" t="s">
        <v>23</v>
      </c>
      <c r="G272">
        <v>8</v>
      </c>
      <c r="H272">
        <v>623</v>
      </c>
      <c r="I272" t="s">
        <v>386</v>
      </c>
      <c r="J272" t="s">
        <v>15</v>
      </c>
      <c r="K272">
        <v>400</v>
      </c>
      <c r="L272" s="7">
        <f t="shared" si="8"/>
        <v>4984</v>
      </c>
      <c r="M272" s="7">
        <f>dataset!$L272-T272</f>
        <v>1784</v>
      </c>
      <c r="N272" s="7">
        <f>dataset!$M272/dataset!$L272*100</f>
        <v>35.794542536115571</v>
      </c>
      <c r="O272" s="25">
        <f>dataset!$K272*dataset!$G272</f>
        <v>3200</v>
      </c>
      <c r="P272"/>
      <c r="T272">
        <f>dataset!$K272*dataset!$G272</f>
        <v>3200</v>
      </c>
    </row>
    <row r="273" spans="1:20" x14ac:dyDescent="0.35">
      <c r="A273" s="2">
        <v>45835</v>
      </c>
      <c r="B273">
        <f t="shared" si="9"/>
        <v>27</v>
      </c>
      <c r="C273" t="s">
        <v>10</v>
      </c>
      <c r="D273" t="s">
        <v>33</v>
      </c>
      <c r="E273" t="s">
        <v>30</v>
      </c>
      <c r="F273" t="s">
        <v>52</v>
      </c>
      <c r="G273">
        <v>47</v>
      </c>
      <c r="H273">
        <v>1439</v>
      </c>
      <c r="I273" t="s">
        <v>387</v>
      </c>
      <c r="J273" t="s">
        <v>25</v>
      </c>
      <c r="K273">
        <v>1050</v>
      </c>
      <c r="L273" s="7">
        <f t="shared" si="8"/>
        <v>67633</v>
      </c>
      <c r="M273" s="7">
        <f>dataset!$L273-T273</f>
        <v>18283</v>
      </c>
      <c r="N273" s="7">
        <f>dataset!$M273/dataset!$L273*100</f>
        <v>27.032661570535094</v>
      </c>
      <c r="O273" s="25">
        <f>dataset!$K273*dataset!$G273</f>
        <v>49350</v>
      </c>
      <c r="P273"/>
      <c r="T273">
        <f>dataset!$K273*dataset!$G273</f>
        <v>49350</v>
      </c>
    </row>
    <row r="274" spans="1:20" x14ac:dyDescent="0.35">
      <c r="A274" s="2">
        <v>45822</v>
      </c>
      <c r="B274">
        <f t="shared" si="9"/>
        <v>14</v>
      </c>
      <c r="C274" t="s">
        <v>29</v>
      </c>
      <c r="D274" t="s">
        <v>46</v>
      </c>
      <c r="E274" t="s">
        <v>67</v>
      </c>
      <c r="F274" t="s">
        <v>40</v>
      </c>
      <c r="G274">
        <v>43</v>
      </c>
      <c r="H274">
        <v>1985</v>
      </c>
      <c r="I274" t="s">
        <v>388</v>
      </c>
      <c r="J274" t="s">
        <v>25</v>
      </c>
      <c r="K274">
        <v>1050</v>
      </c>
      <c r="L274" s="7">
        <f t="shared" si="8"/>
        <v>85355</v>
      </c>
      <c r="M274" s="7">
        <f>dataset!$L274-T274</f>
        <v>40205</v>
      </c>
      <c r="N274" s="7">
        <f>dataset!$M274/dataset!$L274*100</f>
        <v>47.103274559193956</v>
      </c>
      <c r="O274" s="25">
        <f>dataset!$K274*dataset!$G274</f>
        <v>45150</v>
      </c>
      <c r="P274"/>
      <c r="T274">
        <f>dataset!$K274*dataset!$G274</f>
        <v>45150</v>
      </c>
    </row>
    <row r="275" spans="1:20" x14ac:dyDescent="0.35">
      <c r="A275" s="2">
        <v>45803</v>
      </c>
      <c r="B275">
        <f t="shared" si="9"/>
        <v>26</v>
      </c>
      <c r="C275" t="s">
        <v>29</v>
      </c>
      <c r="D275" t="s">
        <v>16</v>
      </c>
      <c r="E275" t="s">
        <v>22</v>
      </c>
      <c r="F275" t="s">
        <v>31</v>
      </c>
      <c r="G275">
        <v>11</v>
      </c>
      <c r="H275">
        <v>2396</v>
      </c>
      <c r="I275" t="s">
        <v>389</v>
      </c>
      <c r="J275" t="s">
        <v>25</v>
      </c>
      <c r="K275">
        <v>2100</v>
      </c>
      <c r="L275" s="7">
        <f t="shared" si="8"/>
        <v>26356</v>
      </c>
      <c r="M275" s="7">
        <f>dataset!$L275-T275</f>
        <v>3256</v>
      </c>
      <c r="N275" s="7">
        <f>dataset!$M275/dataset!$L275*100</f>
        <v>12.353923205342237</v>
      </c>
      <c r="O275" s="25">
        <f>dataset!$K275*dataset!$G275</f>
        <v>23100</v>
      </c>
      <c r="P275"/>
      <c r="T275">
        <f>dataset!$K275*dataset!$G275</f>
        <v>23100</v>
      </c>
    </row>
    <row r="276" spans="1:20" x14ac:dyDescent="0.35">
      <c r="A276" s="2">
        <v>45818</v>
      </c>
      <c r="B276">
        <f t="shared" si="9"/>
        <v>10</v>
      </c>
      <c r="C276" t="s">
        <v>20</v>
      </c>
      <c r="D276" t="s">
        <v>36</v>
      </c>
      <c r="E276" t="s">
        <v>75</v>
      </c>
      <c r="F276" t="s">
        <v>40</v>
      </c>
      <c r="G276">
        <v>11</v>
      </c>
      <c r="H276">
        <v>1612</v>
      </c>
      <c r="I276" t="s">
        <v>390</v>
      </c>
      <c r="J276" t="s">
        <v>25</v>
      </c>
      <c r="K276">
        <v>1050</v>
      </c>
      <c r="L276" s="7">
        <f t="shared" si="8"/>
        <v>17732</v>
      </c>
      <c r="M276" s="7">
        <f>dataset!$L276-T276</f>
        <v>6182</v>
      </c>
      <c r="N276" s="7">
        <f>dataset!$M276/dataset!$L276*100</f>
        <v>34.863523573200993</v>
      </c>
      <c r="O276" s="25">
        <f>dataset!$K276*dataset!$G276</f>
        <v>11550</v>
      </c>
      <c r="P276"/>
      <c r="T276">
        <f>dataset!$K276*dataset!$G276</f>
        <v>11550</v>
      </c>
    </row>
    <row r="277" spans="1:20" x14ac:dyDescent="0.35">
      <c r="A277" s="2">
        <v>45835</v>
      </c>
      <c r="B277">
        <f t="shared" si="9"/>
        <v>27</v>
      </c>
      <c r="C277" t="s">
        <v>20</v>
      </c>
      <c r="D277" t="s">
        <v>46</v>
      </c>
      <c r="E277" t="s">
        <v>42</v>
      </c>
      <c r="F277" t="s">
        <v>56</v>
      </c>
      <c r="G277">
        <v>24</v>
      </c>
      <c r="H277">
        <v>2672</v>
      </c>
      <c r="I277" t="s">
        <v>391</v>
      </c>
      <c r="J277" t="s">
        <v>25</v>
      </c>
      <c r="K277">
        <v>1450</v>
      </c>
      <c r="L277" s="7">
        <f t="shared" si="8"/>
        <v>64128</v>
      </c>
      <c r="M277" s="7">
        <f>dataset!$L277-T277</f>
        <v>29328</v>
      </c>
      <c r="N277" s="7">
        <f>dataset!$M277/dataset!$L277*100</f>
        <v>45.733532934131738</v>
      </c>
      <c r="O277" s="25">
        <f>dataset!$K277*dataset!$G277</f>
        <v>34800</v>
      </c>
      <c r="P277"/>
      <c r="T277">
        <f>dataset!$K277*dataset!$G277</f>
        <v>34800</v>
      </c>
    </row>
    <row r="278" spans="1:20" x14ac:dyDescent="0.35">
      <c r="A278" s="2">
        <v>45758</v>
      </c>
      <c r="B278">
        <f t="shared" si="9"/>
        <v>11</v>
      </c>
      <c r="C278" t="s">
        <v>20</v>
      </c>
      <c r="D278" t="s">
        <v>33</v>
      </c>
      <c r="E278" t="s">
        <v>75</v>
      </c>
      <c r="F278" t="s">
        <v>18</v>
      </c>
      <c r="G278">
        <v>25</v>
      </c>
      <c r="H278">
        <v>335</v>
      </c>
      <c r="I278" t="s">
        <v>392</v>
      </c>
      <c r="J278" t="s">
        <v>25</v>
      </c>
      <c r="K278">
        <v>300</v>
      </c>
      <c r="L278" s="7">
        <f t="shared" si="8"/>
        <v>8375</v>
      </c>
      <c r="M278" s="7">
        <f>dataset!$L278-T278</f>
        <v>875</v>
      </c>
      <c r="N278" s="7">
        <f>dataset!$M278/dataset!$L278*100</f>
        <v>10.44776119402985</v>
      </c>
      <c r="O278" s="25">
        <f>dataset!$K278*dataset!$G278</f>
        <v>7500</v>
      </c>
      <c r="P278"/>
      <c r="T278">
        <f>dataset!$K278*dataset!$G278</f>
        <v>7500</v>
      </c>
    </row>
    <row r="279" spans="1:20" x14ac:dyDescent="0.35">
      <c r="A279" s="2">
        <v>45772</v>
      </c>
      <c r="B279">
        <f t="shared" si="9"/>
        <v>25</v>
      </c>
      <c r="C279" t="s">
        <v>20</v>
      </c>
      <c r="D279" t="s">
        <v>46</v>
      </c>
      <c r="E279" t="s">
        <v>30</v>
      </c>
      <c r="F279" t="s">
        <v>52</v>
      </c>
      <c r="G279">
        <v>8</v>
      </c>
      <c r="H279">
        <v>1820</v>
      </c>
      <c r="I279" t="s">
        <v>393</v>
      </c>
      <c r="J279" t="s">
        <v>25</v>
      </c>
      <c r="K279">
        <v>1100</v>
      </c>
      <c r="L279" s="7">
        <f t="shared" si="8"/>
        <v>14560</v>
      </c>
      <c r="M279" s="7">
        <f>dataset!$L279-T279</f>
        <v>5760</v>
      </c>
      <c r="N279" s="7">
        <f>dataset!$M279/dataset!$L279*100</f>
        <v>39.560439560439562</v>
      </c>
      <c r="O279" s="25">
        <f>dataset!$K279*dataset!$G279</f>
        <v>8800</v>
      </c>
      <c r="P279"/>
      <c r="T279">
        <f>dataset!$K279*dataset!$G279</f>
        <v>8800</v>
      </c>
    </row>
    <row r="280" spans="1:20" x14ac:dyDescent="0.35">
      <c r="A280" s="2">
        <v>45766</v>
      </c>
      <c r="B280">
        <f t="shared" si="9"/>
        <v>19</v>
      </c>
      <c r="C280" t="s">
        <v>26</v>
      </c>
      <c r="D280" t="s">
        <v>16</v>
      </c>
      <c r="E280" t="s">
        <v>64</v>
      </c>
      <c r="F280" t="s">
        <v>47</v>
      </c>
      <c r="G280">
        <v>15</v>
      </c>
      <c r="H280">
        <v>1649</v>
      </c>
      <c r="I280" t="s">
        <v>79</v>
      </c>
      <c r="J280" t="s">
        <v>25</v>
      </c>
      <c r="K280">
        <v>900</v>
      </c>
      <c r="L280" s="7">
        <f t="shared" si="8"/>
        <v>24735</v>
      </c>
      <c r="M280" s="7">
        <f>dataset!$L280-T280</f>
        <v>11235</v>
      </c>
      <c r="N280" s="7">
        <f>dataset!$M280/dataset!$L280*100</f>
        <v>45.421467556094605</v>
      </c>
      <c r="O280" s="25">
        <f>dataset!$K280*dataset!$G280</f>
        <v>13500</v>
      </c>
      <c r="P280"/>
      <c r="T280">
        <f>dataset!$K280*dataset!$G280</f>
        <v>13500</v>
      </c>
    </row>
    <row r="281" spans="1:20" x14ac:dyDescent="0.35">
      <c r="A281" s="2">
        <v>45790</v>
      </c>
      <c r="B281">
        <f t="shared" si="9"/>
        <v>13</v>
      </c>
      <c r="C281" t="s">
        <v>26</v>
      </c>
      <c r="D281" t="s">
        <v>36</v>
      </c>
      <c r="E281" t="s">
        <v>39</v>
      </c>
      <c r="F281" t="s">
        <v>59</v>
      </c>
      <c r="G281">
        <v>26</v>
      </c>
      <c r="H281">
        <v>2038</v>
      </c>
      <c r="I281" t="s">
        <v>394</v>
      </c>
      <c r="J281" t="s">
        <v>25</v>
      </c>
      <c r="K281">
        <v>1050</v>
      </c>
      <c r="L281" s="7">
        <f t="shared" si="8"/>
        <v>52988</v>
      </c>
      <c r="M281" s="7">
        <f>dataset!$L281-T281</f>
        <v>25688</v>
      </c>
      <c r="N281" s="7">
        <f>dataset!$M281/dataset!$L281*100</f>
        <v>48.478900883218841</v>
      </c>
      <c r="O281" s="25">
        <f>dataset!$K281*dataset!$G281</f>
        <v>27300</v>
      </c>
      <c r="P281"/>
      <c r="T281">
        <f>dataset!$K281*dataset!$G281</f>
        <v>27300</v>
      </c>
    </row>
    <row r="282" spans="1:20" x14ac:dyDescent="0.35">
      <c r="A282" s="2">
        <v>45830</v>
      </c>
      <c r="B282">
        <f t="shared" si="9"/>
        <v>22</v>
      </c>
      <c r="C282" t="s">
        <v>20</v>
      </c>
      <c r="D282" t="s">
        <v>33</v>
      </c>
      <c r="E282" t="s">
        <v>75</v>
      </c>
      <c r="F282" t="s">
        <v>52</v>
      </c>
      <c r="G282">
        <v>16</v>
      </c>
      <c r="H282">
        <v>657</v>
      </c>
      <c r="I282" t="s">
        <v>395</v>
      </c>
      <c r="J282" t="s">
        <v>15</v>
      </c>
      <c r="K282">
        <v>400</v>
      </c>
      <c r="L282" s="7">
        <f t="shared" si="8"/>
        <v>10512</v>
      </c>
      <c r="M282" s="7">
        <f>dataset!$L282-T282</f>
        <v>4112</v>
      </c>
      <c r="N282" s="7">
        <f>dataset!$M282/dataset!$L282*100</f>
        <v>39.117199391171994</v>
      </c>
      <c r="O282" s="25">
        <f>dataset!$K282*dataset!$G282</f>
        <v>6400</v>
      </c>
      <c r="P282"/>
      <c r="T282">
        <f>dataset!$K282*dataset!$G282</f>
        <v>6400</v>
      </c>
    </row>
    <row r="283" spans="1:20" x14ac:dyDescent="0.35">
      <c r="A283" s="2">
        <v>45828</v>
      </c>
      <c r="B283">
        <f t="shared" si="9"/>
        <v>20</v>
      </c>
      <c r="C283" t="s">
        <v>26</v>
      </c>
      <c r="D283" t="s">
        <v>21</v>
      </c>
      <c r="E283" t="s">
        <v>67</v>
      </c>
      <c r="F283" t="s">
        <v>47</v>
      </c>
      <c r="G283">
        <v>44</v>
      </c>
      <c r="H283">
        <v>2544</v>
      </c>
      <c r="I283" t="s">
        <v>396</v>
      </c>
      <c r="J283" t="s">
        <v>25</v>
      </c>
      <c r="K283">
        <v>2100</v>
      </c>
      <c r="L283" s="7">
        <f t="shared" si="8"/>
        <v>111936</v>
      </c>
      <c r="M283" s="7">
        <f>dataset!$L283-T283</f>
        <v>19536</v>
      </c>
      <c r="N283" s="7">
        <f>dataset!$M283/dataset!$L283*100</f>
        <v>17.452830188679243</v>
      </c>
      <c r="O283" s="25">
        <f>dataset!$K283*dataset!$G283</f>
        <v>92400</v>
      </c>
      <c r="P283"/>
      <c r="T283">
        <f>dataset!$K283*dataset!$G283</f>
        <v>92400</v>
      </c>
    </row>
    <row r="284" spans="1:20" x14ac:dyDescent="0.35">
      <c r="A284" s="2">
        <v>45761</v>
      </c>
      <c r="B284">
        <f t="shared" si="9"/>
        <v>14</v>
      </c>
      <c r="C284" t="s">
        <v>29</v>
      </c>
      <c r="D284" t="s">
        <v>16</v>
      </c>
      <c r="E284" t="s">
        <v>67</v>
      </c>
      <c r="F284" t="s">
        <v>56</v>
      </c>
      <c r="G284">
        <v>11</v>
      </c>
      <c r="H284">
        <v>2129</v>
      </c>
      <c r="I284" t="s">
        <v>397</v>
      </c>
      <c r="J284" t="s">
        <v>15</v>
      </c>
      <c r="K284">
        <v>1650</v>
      </c>
      <c r="L284" s="7">
        <f t="shared" si="8"/>
        <v>23419</v>
      </c>
      <c r="M284" s="7">
        <f>dataset!$L284-T284</f>
        <v>5269</v>
      </c>
      <c r="N284" s="7">
        <f>dataset!$M284/dataset!$L284*100</f>
        <v>22.498825739783936</v>
      </c>
      <c r="O284" s="25">
        <f>dataset!$K284*dataset!$G284</f>
        <v>18150</v>
      </c>
      <c r="P284"/>
      <c r="T284">
        <f>dataset!$K284*dataset!$G284</f>
        <v>18150</v>
      </c>
    </row>
    <row r="285" spans="1:20" x14ac:dyDescent="0.35">
      <c r="A285" s="2">
        <v>45776</v>
      </c>
      <c r="B285">
        <f t="shared" si="9"/>
        <v>29</v>
      </c>
      <c r="C285" t="s">
        <v>35</v>
      </c>
      <c r="D285" t="s">
        <v>27</v>
      </c>
      <c r="E285" t="s">
        <v>75</v>
      </c>
      <c r="F285" t="s">
        <v>52</v>
      </c>
      <c r="G285">
        <v>50</v>
      </c>
      <c r="H285">
        <v>2181</v>
      </c>
      <c r="I285" t="s">
        <v>398</v>
      </c>
      <c r="J285" t="s">
        <v>15</v>
      </c>
      <c r="K285">
        <v>1500</v>
      </c>
      <c r="L285" s="7">
        <f t="shared" si="8"/>
        <v>109050</v>
      </c>
      <c r="M285" s="7">
        <f>dataset!$L285-T285</f>
        <v>34050</v>
      </c>
      <c r="N285" s="7">
        <f>dataset!$M285/dataset!$L285*100</f>
        <v>31.224209078404403</v>
      </c>
      <c r="O285" s="25">
        <f>dataset!$K285*dataset!$G285</f>
        <v>75000</v>
      </c>
      <c r="P285"/>
      <c r="T285">
        <f>dataset!$K285*dataset!$G285</f>
        <v>75000</v>
      </c>
    </row>
    <row r="286" spans="1:20" x14ac:dyDescent="0.35">
      <c r="A286" s="2">
        <v>45838</v>
      </c>
      <c r="B286">
        <f t="shared" si="9"/>
        <v>30</v>
      </c>
      <c r="C286" t="s">
        <v>29</v>
      </c>
      <c r="D286" t="s">
        <v>66</v>
      </c>
      <c r="E286" t="s">
        <v>54</v>
      </c>
      <c r="F286" t="s">
        <v>47</v>
      </c>
      <c r="G286">
        <v>28</v>
      </c>
      <c r="H286">
        <v>2348</v>
      </c>
      <c r="I286" t="s">
        <v>399</v>
      </c>
      <c r="J286" t="s">
        <v>15</v>
      </c>
      <c r="K286">
        <v>2050</v>
      </c>
      <c r="L286" s="7">
        <f t="shared" si="8"/>
        <v>65744</v>
      </c>
      <c r="M286" s="7">
        <f>dataset!$L286-T286</f>
        <v>8344</v>
      </c>
      <c r="N286" s="7">
        <f>dataset!$M286/dataset!$L286*100</f>
        <v>12.691652470187393</v>
      </c>
      <c r="O286" s="25">
        <f>dataset!$K286*dataset!$G286</f>
        <v>57400</v>
      </c>
      <c r="P286"/>
      <c r="T286">
        <f>dataset!$K286*dataset!$G286</f>
        <v>57400</v>
      </c>
    </row>
    <row r="287" spans="1:20" x14ac:dyDescent="0.35">
      <c r="A287" s="2">
        <v>45752</v>
      </c>
      <c r="B287">
        <f t="shared" si="9"/>
        <v>5</v>
      </c>
      <c r="C287" t="s">
        <v>20</v>
      </c>
      <c r="D287" t="s">
        <v>33</v>
      </c>
      <c r="E287" t="s">
        <v>12</v>
      </c>
      <c r="F287" t="s">
        <v>56</v>
      </c>
      <c r="G287">
        <v>32</v>
      </c>
      <c r="H287">
        <v>2133</v>
      </c>
      <c r="I287" t="s">
        <v>400</v>
      </c>
      <c r="J287" t="s">
        <v>15</v>
      </c>
      <c r="K287">
        <v>1700</v>
      </c>
      <c r="L287" s="7">
        <f t="shared" si="8"/>
        <v>68256</v>
      </c>
      <c r="M287" s="7">
        <f>dataset!$L287-T287</f>
        <v>13856</v>
      </c>
      <c r="N287" s="7">
        <f>dataset!$M287/dataset!$L287*100</f>
        <v>20.300046882325361</v>
      </c>
      <c r="O287" s="25">
        <f>dataset!$K287*dataset!$G287</f>
        <v>54400</v>
      </c>
      <c r="P287"/>
      <c r="T287">
        <f>dataset!$K287*dataset!$G287</f>
        <v>54400</v>
      </c>
    </row>
    <row r="288" spans="1:20" x14ac:dyDescent="0.35">
      <c r="A288" s="2">
        <v>45770</v>
      </c>
      <c r="B288">
        <f t="shared" si="9"/>
        <v>23</v>
      </c>
      <c r="C288" t="s">
        <v>26</v>
      </c>
      <c r="D288" t="s">
        <v>27</v>
      </c>
      <c r="E288" t="s">
        <v>22</v>
      </c>
      <c r="F288" t="s">
        <v>37</v>
      </c>
      <c r="G288">
        <v>19</v>
      </c>
      <c r="H288">
        <v>2469</v>
      </c>
      <c r="I288" t="s">
        <v>401</v>
      </c>
      <c r="J288" t="s">
        <v>15</v>
      </c>
      <c r="K288">
        <v>1600</v>
      </c>
      <c r="L288" s="7">
        <f t="shared" si="8"/>
        <v>46911</v>
      </c>
      <c r="M288" s="7">
        <f>dataset!$L288-T288</f>
        <v>16511</v>
      </c>
      <c r="N288" s="7">
        <f>dataset!$M288/dataset!$L288*100</f>
        <v>35.196435803969216</v>
      </c>
      <c r="O288" s="25">
        <f>dataset!$K288*dataset!$G288</f>
        <v>30400</v>
      </c>
      <c r="P288"/>
      <c r="T288">
        <f>dataset!$K288*dataset!$G288</f>
        <v>30400</v>
      </c>
    </row>
    <row r="289" spans="1:20" x14ac:dyDescent="0.35">
      <c r="A289" s="2">
        <v>45767</v>
      </c>
      <c r="B289">
        <f t="shared" si="9"/>
        <v>20</v>
      </c>
      <c r="C289" t="s">
        <v>29</v>
      </c>
      <c r="D289" t="s">
        <v>27</v>
      </c>
      <c r="E289" t="s">
        <v>64</v>
      </c>
      <c r="F289" t="s">
        <v>37</v>
      </c>
      <c r="G289">
        <v>9</v>
      </c>
      <c r="H289">
        <v>1183</v>
      </c>
      <c r="I289" t="s">
        <v>402</v>
      </c>
      <c r="J289" t="s">
        <v>15</v>
      </c>
      <c r="K289">
        <v>700</v>
      </c>
      <c r="L289" s="7">
        <f t="shared" si="8"/>
        <v>10647</v>
      </c>
      <c r="M289" s="7">
        <f>dataset!$L289-T289</f>
        <v>4347</v>
      </c>
      <c r="N289" s="7">
        <f>dataset!$M289/dataset!$L289*100</f>
        <v>40.828402366863905</v>
      </c>
      <c r="O289" s="25">
        <f>dataset!$K289*dataset!$G289</f>
        <v>6300</v>
      </c>
      <c r="P289"/>
      <c r="T289">
        <f>dataset!$K289*dataset!$G289</f>
        <v>6300</v>
      </c>
    </row>
    <row r="290" spans="1:20" x14ac:dyDescent="0.35">
      <c r="A290" s="2">
        <v>45766</v>
      </c>
      <c r="B290">
        <f t="shared" si="9"/>
        <v>19</v>
      </c>
      <c r="C290" t="s">
        <v>20</v>
      </c>
      <c r="D290" t="s">
        <v>16</v>
      </c>
      <c r="E290" t="s">
        <v>12</v>
      </c>
      <c r="F290" t="s">
        <v>56</v>
      </c>
      <c r="G290">
        <v>10</v>
      </c>
      <c r="H290">
        <v>368</v>
      </c>
      <c r="I290" t="s">
        <v>403</v>
      </c>
      <c r="J290" t="s">
        <v>25</v>
      </c>
      <c r="K290">
        <v>250</v>
      </c>
      <c r="L290" s="7">
        <f t="shared" si="8"/>
        <v>3680</v>
      </c>
      <c r="M290" s="7">
        <f>dataset!$L290-T290</f>
        <v>1180</v>
      </c>
      <c r="N290" s="7">
        <f>dataset!$M290/dataset!$L290*100</f>
        <v>32.065217391304344</v>
      </c>
      <c r="O290" s="25">
        <f>dataset!$K290*dataset!$G290</f>
        <v>2500</v>
      </c>
      <c r="P290"/>
      <c r="T290">
        <f>dataset!$K290*dataset!$G290</f>
        <v>2500</v>
      </c>
    </row>
    <row r="291" spans="1:20" x14ac:dyDescent="0.35">
      <c r="A291" s="2">
        <v>45816</v>
      </c>
      <c r="B291">
        <f t="shared" si="9"/>
        <v>8</v>
      </c>
      <c r="C291" t="s">
        <v>29</v>
      </c>
      <c r="D291" t="s">
        <v>36</v>
      </c>
      <c r="E291" t="s">
        <v>67</v>
      </c>
      <c r="F291" t="s">
        <v>40</v>
      </c>
      <c r="G291">
        <v>24</v>
      </c>
      <c r="H291">
        <v>1011</v>
      </c>
      <c r="I291" t="s">
        <v>80</v>
      </c>
      <c r="J291" t="s">
        <v>15</v>
      </c>
      <c r="K291">
        <v>650</v>
      </c>
      <c r="L291" s="7">
        <f t="shared" si="8"/>
        <v>24264</v>
      </c>
      <c r="M291" s="7">
        <f>dataset!$L291-T291</f>
        <v>8664</v>
      </c>
      <c r="N291" s="7">
        <f>dataset!$M291/dataset!$L291*100</f>
        <v>35.707220573689419</v>
      </c>
      <c r="O291" s="25">
        <f>dataset!$K291*dataset!$G291</f>
        <v>15600</v>
      </c>
      <c r="P291"/>
      <c r="T291">
        <f>dataset!$K291*dataset!$G291</f>
        <v>15600</v>
      </c>
    </row>
    <row r="292" spans="1:20" x14ac:dyDescent="0.35">
      <c r="A292" s="2">
        <v>45758</v>
      </c>
      <c r="B292">
        <f t="shared" si="9"/>
        <v>11</v>
      </c>
      <c r="C292" t="s">
        <v>20</v>
      </c>
      <c r="D292" t="s">
        <v>46</v>
      </c>
      <c r="E292" t="s">
        <v>39</v>
      </c>
      <c r="F292" t="s">
        <v>56</v>
      </c>
      <c r="G292">
        <v>18</v>
      </c>
      <c r="H292">
        <v>883</v>
      </c>
      <c r="I292" t="s">
        <v>404</v>
      </c>
      <c r="J292" t="s">
        <v>15</v>
      </c>
      <c r="K292">
        <v>650</v>
      </c>
      <c r="L292" s="7">
        <f t="shared" si="8"/>
        <v>15894</v>
      </c>
      <c r="M292" s="7">
        <f>dataset!$L292-T292</f>
        <v>4194</v>
      </c>
      <c r="N292" s="7">
        <f>dataset!$M292/dataset!$L292*100</f>
        <v>26.387315968289922</v>
      </c>
      <c r="O292" s="25">
        <f>dataset!$K292*dataset!$G292</f>
        <v>11700</v>
      </c>
      <c r="P292"/>
      <c r="T292">
        <f>dataset!$K292*dataset!$G292</f>
        <v>11700</v>
      </c>
    </row>
    <row r="293" spans="1:20" x14ac:dyDescent="0.35">
      <c r="A293" s="2">
        <v>45803</v>
      </c>
      <c r="B293">
        <f t="shared" si="9"/>
        <v>26</v>
      </c>
      <c r="C293" t="s">
        <v>20</v>
      </c>
      <c r="D293" t="s">
        <v>36</v>
      </c>
      <c r="E293" t="s">
        <v>39</v>
      </c>
      <c r="F293" t="s">
        <v>31</v>
      </c>
      <c r="G293">
        <v>42</v>
      </c>
      <c r="H293">
        <v>1919</v>
      </c>
      <c r="I293" t="s">
        <v>405</v>
      </c>
      <c r="J293" t="s">
        <v>15</v>
      </c>
      <c r="K293">
        <v>1250</v>
      </c>
      <c r="L293" s="7">
        <f t="shared" si="8"/>
        <v>80598</v>
      </c>
      <c r="M293" s="7">
        <f>dataset!$L293-T293</f>
        <v>28098</v>
      </c>
      <c r="N293" s="7">
        <f>dataset!$M293/dataset!$L293*100</f>
        <v>34.861907243355915</v>
      </c>
      <c r="O293" s="25">
        <f>dataset!$K293*dataset!$G293</f>
        <v>52500</v>
      </c>
      <c r="P293"/>
      <c r="T293">
        <f>dataset!$K293*dataset!$G293</f>
        <v>52500</v>
      </c>
    </row>
    <row r="294" spans="1:20" x14ac:dyDescent="0.35">
      <c r="A294" s="2">
        <v>45793</v>
      </c>
      <c r="B294">
        <f t="shared" si="9"/>
        <v>16</v>
      </c>
      <c r="C294" t="s">
        <v>10</v>
      </c>
      <c r="D294" t="s">
        <v>27</v>
      </c>
      <c r="E294" t="s">
        <v>67</v>
      </c>
      <c r="F294" t="s">
        <v>47</v>
      </c>
      <c r="G294">
        <v>7</v>
      </c>
      <c r="H294">
        <v>1270</v>
      </c>
      <c r="I294" t="s">
        <v>406</v>
      </c>
      <c r="J294" t="s">
        <v>15</v>
      </c>
      <c r="K294">
        <v>700</v>
      </c>
      <c r="L294" s="7">
        <f t="shared" si="8"/>
        <v>8890</v>
      </c>
      <c r="M294" s="7">
        <f>dataset!$L294-T294</f>
        <v>3990</v>
      </c>
      <c r="N294" s="7">
        <f>dataset!$M294/dataset!$L294*100</f>
        <v>44.881889763779526</v>
      </c>
      <c r="O294" s="25">
        <f>dataset!$K294*dataset!$G294</f>
        <v>4900</v>
      </c>
      <c r="P294"/>
      <c r="T294">
        <f>dataset!$K294*dataset!$G294</f>
        <v>4900</v>
      </c>
    </row>
    <row r="295" spans="1:20" x14ac:dyDescent="0.35">
      <c r="A295" s="2">
        <v>45824</v>
      </c>
      <c r="B295">
        <f t="shared" si="9"/>
        <v>16</v>
      </c>
      <c r="C295" t="s">
        <v>20</v>
      </c>
      <c r="D295" t="s">
        <v>21</v>
      </c>
      <c r="E295" t="s">
        <v>22</v>
      </c>
      <c r="F295" t="s">
        <v>13</v>
      </c>
      <c r="G295">
        <v>8</v>
      </c>
      <c r="H295">
        <v>1875</v>
      </c>
      <c r="I295" t="s">
        <v>407</v>
      </c>
      <c r="J295" t="s">
        <v>15</v>
      </c>
      <c r="K295">
        <v>1650</v>
      </c>
      <c r="L295" s="7">
        <f t="shared" si="8"/>
        <v>15000</v>
      </c>
      <c r="M295" s="7">
        <f>dataset!$L295-T295</f>
        <v>1800</v>
      </c>
      <c r="N295" s="7">
        <f>dataset!$M295/dataset!$L295*100</f>
        <v>12</v>
      </c>
      <c r="O295" s="25">
        <f>dataset!$K295*dataset!$G295</f>
        <v>13200</v>
      </c>
      <c r="P295"/>
      <c r="T295">
        <f>dataset!$K295*dataset!$G295</f>
        <v>13200</v>
      </c>
    </row>
    <row r="296" spans="1:20" x14ac:dyDescent="0.35">
      <c r="A296" s="2">
        <v>45809</v>
      </c>
      <c r="B296">
        <f t="shared" si="9"/>
        <v>1</v>
      </c>
      <c r="C296" t="s">
        <v>10</v>
      </c>
      <c r="D296" t="s">
        <v>46</v>
      </c>
      <c r="E296" t="s">
        <v>67</v>
      </c>
      <c r="F296" t="s">
        <v>40</v>
      </c>
      <c r="G296">
        <v>50</v>
      </c>
      <c r="H296">
        <v>1033</v>
      </c>
      <c r="I296" t="s">
        <v>408</v>
      </c>
      <c r="J296" t="s">
        <v>15</v>
      </c>
      <c r="K296">
        <v>550</v>
      </c>
      <c r="L296" s="7">
        <f t="shared" si="8"/>
        <v>51650</v>
      </c>
      <c r="M296" s="7">
        <f>dataset!$L296-T296</f>
        <v>24150</v>
      </c>
      <c r="N296" s="7">
        <f>dataset!$M296/dataset!$L296*100</f>
        <v>46.757018393030009</v>
      </c>
      <c r="O296" s="25">
        <f>dataset!$K296*dataset!$G296</f>
        <v>27500</v>
      </c>
      <c r="P296"/>
      <c r="T296">
        <f>dataset!$K296*dataset!$G296</f>
        <v>27500</v>
      </c>
    </row>
    <row r="297" spans="1:20" x14ac:dyDescent="0.35">
      <c r="A297" s="2">
        <v>45817</v>
      </c>
      <c r="B297">
        <f t="shared" si="9"/>
        <v>9</v>
      </c>
      <c r="C297" t="s">
        <v>35</v>
      </c>
      <c r="D297" t="s">
        <v>11</v>
      </c>
      <c r="E297" t="s">
        <v>30</v>
      </c>
      <c r="F297" t="s">
        <v>18</v>
      </c>
      <c r="G297">
        <v>15</v>
      </c>
      <c r="H297">
        <v>2570</v>
      </c>
      <c r="I297" t="s">
        <v>409</v>
      </c>
      <c r="J297" t="s">
        <v>25</v>
      </c>
      <c r="K297">
        <v>2000</v>
      </c>
      <c r="L297" s="7">
        <f t="shared" si="8"/>
        <v>38550</v>
      </c>
      <c r="M297" s="7">
        <f>dataset!$L297-T297</f>
        <v>8550</v>
      </c>
      <c r="N297" s="7">
        <f>dataset!$M297/dataset!$L297*100</f>
        <v>22.178988326848248</v>
      </c>
      <c r="O297" s="25">
        <f>dataset!$K297*dataset!$G297</f>
        <v>30000</v>
      </c>
      <c r="P297"/>
      <c r="T297">
        <f>dataset!$K297*dataset!$G297</f>
        <v>30000</v>
      </c>
    </row>
    <row r="298" spans="1:20" x14ac:dyDescent="0.35">
      <c r="A298" s="2">
        <v>45756</v>
      </c>
      <c r="B298">
        <f t="shared" si="9"/>
        <v>9</v>
      </c>
      <c r="C298" t="s">
        <v>29</v>
      </c>
      <c r="D298" t="s">
        <v>66</v>
      </c>
      <c r="E298" t="s">
        <v>30</v>
      </c>
      <c r="F298" t="s">
        <v>23</v>
      </c>
      <c r="G298">
        <v>22</v>
      </c>
      <c r="H298">
        <v>2137</v>
      </c>
      <c r="I298" t="s">
        <v>410</v>
      </c>
      <c r="J298" t="s">
        <v>15</v>
      </c>
      <c r="K298">
        <v>1800</v>
      </c>
      <c r="L298" s="7">
        <f t="shared" si="8"/>
        <v>47014</v>
      </c>
      <c r="M298" s="7">
        <f>dataset!$L298-T298</f>
        <v>7414</v>
      </c>
      <c r="N298" s="7">
        <f>dataset!$M298/dataset!$L298*100</f>
        <v>15.769770706598035</v>
      </c>
      <c r="O298" s="25">
        <f>dataset!$K298*dataset!$G298</f>
        <v>39600</v>
      </c>
      <c r="P298"/>
      <c r="T298">
        <f>dataset!$K298*dataset!$G298</f>
        <v>39600</v>
      </c>
    </row>
    <row r="299" spans="1:20" x14ac:dyDescent="0.35">
      <c r="A299" s="2">
        <v>45814</v>
      </c>
      <c r="B299">
        <f t="shared" si="9"/>
        <v>6</v>
      </c>
      <c r="C299" t="s">
        <v>20</v>
      </c>
      <c r="D299" t="s">
        <v>11</v>
      </c>
      <c r="E299" t="s">
        <v>17</v>
      </c>
      <c r="F299" t="s">
        <v>13</v>
      </c>
      <c r="G299">
        <v>9</v>
      </c>
      <c r="H299">
        <v>1818</v>
      </c>
      <c r="I299" t="s">
        <v>411</v>
      </c>
      <c r="J299" t="s">
        <v>25</v>
      </c>
      <c r="K299">
        <v>950</v>
      </c>
      <c r="L299" s="7">
        <f t="shared" si="8"/>
        <v>16362</v>
      </c>
      <c r="M299" s="7">
        <f>dataset!$L299-T299</f>
        <v>7812</v>
      </c>
      <c r="N299" s="7">
        <f>dataset!$M299/dataset!$L299*100</f>
        <v>47.744774477447741</v>
      </c>
      <c r="O299" s="25">
        <f>dataset!$K299*dataset!$G299</f>
        <v>8550</v>
      </c>
      <c r="P299"/>
      <c r="T299">
        <f>dataset!$K299*dataset!$G299</f>
        <v>8550</v>
      </c>
    </row>
    <row r="300" spans="1:20" x14ac:dyDescent="0.35">
      <c r="A300" s="2">
        <v>45838</v>
      </c>
      <c r="B300">
        <f t="shared" si="9"/>
        <v>30</v>
      </c>
      <c r="C300" t="s">
        <v>26</v>
      </c>
      <c r="D300" t="s">
        <v>21</v>
      </c>
      <c r="E300" t="s">
        <v>30</v>
      </c>
      <c r="F300" t="s">
        <v>47</v>
      </c>
      <c r="G300">
        <v>49</v>
      </c>
      <c r="H300">
        <v>2525</v>
      </c>
      <c r="I300" t="s">
        <v>412</v>
      </c>
      <c r="J300" t="s">
        <v>25</v>
      </c>
      <c r="K300">
        <v>1250</v>
      </c>
      <c r="L300" s="7">
        <f t="shared" si="8"/>
        <v>123725</v>
      </c>
      <c r="M300" s="7">
        <f>dataset!$L300-T300</f>
        <v>62475</v>
      </c>
      <c r="N300" s="7">
        <f>dataset!$M300/dataset!$L300*100</f>
        <v>50.495049504950494</v>
      </c>
      <c r="O300" s="25">
        <f>dataset!$K300*dataset!$G300</f>
        <v>61250</v>
      </c>
      <c r="P300"/>
      <c r="T300">
        <f>dataset!$K300*dataset!$G300</f>
        <v>61250</v>
      </c>
    </row>
    <row r="301" spans="1:20" x14ac:dyDescent="0.35">
      <c r="A301" s="2">
        <v>45813</v>
      </c>
      <c r="B301">
        <f t="shared" si="9"/>
        <v>5</v>
      </c>
      <c r="C301" t="s">
        <v>20</v>
      </c>
      <c r="D301" t="s">
        <v>11</v>
      </c>
      <c r="E301" t="s">
        <v>17</v>
      </c>
      <c r="F301" t="s">
        <v>18</v>
      </c>
      <c r="G301">
        <v>12</v>
      </c>
      <c r="H301">
        <v>1130</v>
      </c>
      <c r="I301" t="s">
        <v>413</v>
      </c>
      <c r="J301" t="s">
        <v>25</v>
      </c>
      <c r="K301">
        <v>750</v>
      </c>
      <c r="L301" s="7">
        <f t="shared" si="8"/>
        <v>13560</v>
      </c>
      <c r="M301" s="7">
        <f>dataset!$L301-T301</f>
        <v>4560</v>
      </c>
      <c r="N301" s="7">
        <f>dataset!$M301/dataset!$L301*100</f>
        <v>33.628318584070797</v>
      </c>
      <c r="O301" s="25">
        <f>dataset!$K301*dataset!$G301</f>
        <v>9000</v>
      </c>
      <c r="P301"/>
      <c r="T301">
        <f>dataset!$K301*dataset!$G301</f>
        <v>9000</v>
      </c>
    </row>
    <row r="302" spans="1:20" x14ac:dyDescent="0.35">
      <c r="A302" s="2">
        <v>45759</v>
      </c>
      <c r="B302">
        <f t="shared" si="9"/>
        <v>12</v>
      </c>
      <c r="C302" t="s">
        <v>26</v>
      </c>
      <c r="D302" t="s">
        <v>36</v>
      </c>
      <c r="E302" t="s">
        <v>30</v>
      </c>
      <c r="F302" t="s">
        <v>31</v>
      </c>
      <c r="G302">
        <v>44</v>
      </c>
      <c r="H302">
        <v>1225</v>
      </c>
      <c r="I302" t="s">
        <v>81</v>
      </c>
      <c r="J302" t="s">
        <v>15</v>
      </c>
      <c r="K302">
        <v>1050</v>
      </c>
      <c r="L302" s="7">
        <f t="shared" si="8"/>
        <v>53900</v>
      </c>
      <c r="M302" s="7">
        <f>dataset!$L302-T302</f>
        <v>7700</v>
      </c>
      <c r="N302" s="7">
        <f>dataset!$M302/dataset!$L302*100</f>
        <v>14.285714285714285</v>
      </c>
      <c r="O302" s="25">
        <f>dataset!$K302*dataset!$G302</f>
        <v>46200</v>
      </c>
      <c r="P302"/>
      <c r="T302">
        <f>dataset!$K302*dataset!$G302</f>
        <v>46200</v>
      </c>
    </row>
    <row r="303" spans="1:20" x14ac:dyDescent="0.35">
      <c r="A303" s="2">
        <v>45785</v>
      </c>
      <c r="B303">
        <f t="shared" si="9"/>
        <v>8</v>
      </c>
      <c r="C303" t="s">
        <v>10</v>
      </c>
      <c r="D303" t="s">
        <v>66</v>
      </c>
      <c r="E303" t="s">
        <v>54</v>
      </c>
      <c r="F303" t="s">
        <v>13</v>
      </c>
      <c r="G303">
        <v>46</v>
      </c>
      <c r="H303">
        <v>1388</v>
      </c>
      <c r="I303" t="s">
        <v>414</v>
      </c>
      <c r="J303" t="s">
        <v>15</v>
      </c>
      <c r="K303">
        <v>850</v>
      </c>
      <c r="L303" s="7">
        <f t="shared" si="8"/>
        <v>63848</v>
      </c>
      <c r="M303" s="7">
        <f>dataset!$L303-T303</f>
        <v>24748</v>
      </c>
      <c r="N303" s="7">
        <f>dataset!$M303/dataset!$L303*100</f>
        <v>38.760806916426517</v>
      </c>
      <c r="O303" s="25">
        <f>dataset!$K303*dataset!$G303</f>
        <v>39100</v>
      </c>
      <c r="P303"/>
      <c r="T303">
        <f>dataset!$K303*dataset!$G303</f>
        <v>39100</v>
      </c>
    </row>
    <row r="304" spans="1:20" x14ac:dyDescent="0.35">
      <c r="A304" s="2">
        <v>45760</v>
      </c>
      <c r="B304">
        <f t="shared" si="9"/>
        <v>13</v>
      </c>
      <c r="C304" t="s">
        <v>20</v>
      </c>
      <c r="D304" t="s">
        <v>16</v>
      </c>
      <c r="E304" t="s">
        <v>22</v>
      </c>
      <c r="F304" t="s">
        <v>59</v>
      </c>
      <c r="G304">
        <v>7</v>
      </c>
      <c r="H304">
        <v>1324</v>
      </c>
      <c r="I304" t="s">
        <v>415</v>
      </c>
      <c r="J304" t="s">
        <v>15</v>
      </c>
      <c r="K304">
        <v>950</v>
      </c>
      <c r="L304" s="7">
        <f t="shared" si="8"/>
        <v>9268</v>
      </c>
      <c r="M304" s="7">
        <f>dataset!$L304-T304</f>
        <v>2618</v>
      </c>
      <c r="N304" s="7">
        <f>dataset!$M304/dataset!$L304*100</f>
        <v>28.247734138972806</v>
      </c>
      <c r="O304" s="25">
        <f>dataset!$K304*dataset!$G304</f>
        <v>6650</v>
      </c>
      <c r="P304"/>
      <c r="T304">
        <f>dataset!$K304*dataset!$G304</f>
        <v>6650</v>
      </c>
    </row>
    <row r="305" spans="1:20" x14ac:dyDescent="0.35">
      <c r="A305" s="2">
        <v>45800</v>
      </c>
      <c r="B305">
        <f t="shared" si="9"/>
        <v>23</v>
      </c>
      <c r="C305" t="s">
        <v>26</v>
      </c>
      <c r="D305" t="s">
        <v>66</v>
      </c>
      <c r="E305" t="s">
        <v>75</v>
      </c>
      <c r="F305" t="s">
        <v>40</v>
      </c>
      <c r="G305">
        <v>26</v>
      </c>
      <c r="H305">
        <v>2447</v>
      </c>
      <c r="I305" t="s">
        <v>416</v>
      </c>
      <c r="J305" t="s">
        <v>15</v>
      </c>
      <c r="K305">
        <v>2000</v>
      </c>
      <c r="L305" s="7">
        <f t="shared" si="8"/>
        <v>63622</v>
      </c>
      <c r="M305" s="7">
        <f>dataset!$L305-T305</f>
        <v>11622</v>
      </c>
      <c r="N305" s="7">
        <f>dataset!$M305/dataset!$L305*100</f>
        <v>18.267266040049041</v>
      </c>
      <c r="O305" s="25">
        <f>dataset!$K305*dataset!$G305</f>
        <v>52000</v>
      </c>
      <c r="P305"/>
      <c r="T305">
        <f>dataset!$K305*dataset!$G305</f>
        <v>52000</v>
      </c>
    </row>
    <row r="306" spans="1:20" x14ac:dyDescent="0.35">
      <c r="A306" s="2">
        <v>45765</v>
      </c>
      <c r="B306">
        <f t="shared" si="9"/>
        <v>18</v>
      </c>
      <c r="C306" t="s">
        <v>10</v>
      </c>
      <c r="D306" t="s">
        <v>16</v>
      </c>
      <c r="E306" t="s">
        <v>42</v>
      </c>
      <c r="F306" t="s">
        <v>31</v>
      </c>
      <c r="G306">
        <v>15</v>
      </c>
      <c r="H306">
        <v>366</v>
      </c>
      <c r="I306" t="s">
        <v>417</v>
      </c>
      <c r="J306" t="s">
        <v>15</v>
      </c>
      <c r="K306">
        <v>300</v>
      </c>
      <c r="L306" s="7">
        <f t="shared" si="8"/>
        <v>5490</v>
      </c>
      <c r="M306" s="7">
        <f>dataset!$L306-T306</f>
        <v>990</v>
      </c>
      <c r="N306" s="7">
        <f>dataset!$M306/dataset!$L306*100</f>
        <v>18.032786885245901</v>
      </c>
      <c r="O306" s="25">
        <f>dataset!$K306*dataset!$G306</f>
        <v>4500</v>
      </c>
      <c r="P306"/>
      <c r="T306">
        <f>dataset!$K306*dataset!$G306</f>
        <v>4500</v>
      </c>
    </row>
    <row r="307" spans="1:20" x14ac:dyDescent="0.35">
      <c r="A307" s="2">
        <v>45773</v>
      </c>
      <c r="B307">
        <f t="shared" si="9"/>
        <v>26</v>
      </c>
      <c r="C307" t="s">
        <v>20</v>
      </c>
      <c r="D307" t="s">
        <v>21</v>
      </c>
      <c r="E307" t="s">
        <v>12</v>
      </c>
      <c r="F307" t="s">
        <v>47</v>
      </c>
      <c r="G307">
        <v>13</v>
      </c>
      <c r="H307">
        <v>2826</v>
      </c>
      <c r="I307" t="s">
        <v>418</v>
      </c>
      <c r="J307" t="s">
        <v>25</v>
      </c>
      <c r="K307">
        <v>2200</v>
      </c>
      <c r="L307" s="7">
        <f t="shared" si="8"/>
        <v>36738</v>
      </c>
      <c r="M307" s="7">
        <f>dataset!$L307-T307</f>
        <v>8138</v>
      </c>
      <c r="N307" s="7">
        <f>dataset!$M307/dataset!$L307*100</f>
        <v>22.151450813871197</v>
      </c>
      <c r="O307" s="25">
        <f>dataset!$K307*dataset!$G307</f>
        <v>28600</v>
      </c>
      <c r="P307"/>
      <c r="T307">
        <f>dataset!$K307*dataset!$G307</f>
        <v>28600</v>
      </c>
    </row>
    <row r="308" spans="1:20" x14ac:dyDescent="0.35">
      <c r="A308" s="2">
        <v>45797</v>
      </c>
      <c r="B308">
        <f t="shared" si="9"/>
        <v>20</v>
      </c>
      <c r="C308" t="s">
        <v>35</v>
      </c>
      <c r="D308" t="s">
        <v>33</v>
      </c>
      <c r="E308" t="s">
        <v>54</v>
      </c>
      <c r="F308" t="s">
        <v>59</v>
      </c>
      <c r="G308">
        <v>37</v>
      </c>
      <c r="H308">
        <v>1161</v>
      </c>
      <c r="I308" t="s">
        <v>419</v>
      </c>
      <c r="J308" t="s">
        <v>15</v>
      </c>
      <c r="K308">
        <v>800</v>
      </c>
      <c r="L308" s="7">
        <f t="shared" si="8"/>
        <v>42957</v>
      </c>
      <c r="M308" s="7">
        <f>dataset!$L308-T308</f>
        <v>13357</v>
      </c>
      <c r="N308" s="7">
        <f>dataset!$M308/dataset!$L308*100</f>
        <v>31.093884582256674</v>
      </c>
      <c r="O308" s="25">
        <f>dataset!$K308*dataset!$G308</f>
        <v>29600</v>
      </c>
      <c r="P308"/>
      <c r="T308">
        <f>dataset!$K308*dataset!$G308</f>
        <v>29600</v>
      </c>
    </row>
    <row r="309" spans="1:20" x14ac:dyDescent="0.35">
      <c r="A309" s="2">
        <v>45771</v>
      </c>
      <c r="B309">
        <f t="shared" si="9"/>
        <v>24</v>
      </c>
      <c r="C309" t="s">
        <v>29</v>
      </c>
      <c r="D309" t="s">
        <v>11</v>
      </c>
      <c r="E309" t="s">
        <v>67</v>
      </c>
      <c r="F309" t="s">
        <v>47</v>
      </c>
      <c r="G309">
        <v>31</v>
      </c>
      <c r="H309">
        <v>2192</v>
      </c>
      <c r="I309" t="s">
        <v>420</v>
      </c>
      <c r="J309" t="s">
        <v>25</v>
      </c>
      <c r="K309">
        <v>1400</v>
      </c>
      <c r="L309" s="7">
        <f t="shared" si="8"/>
        <v>67952</v>
      </c>
      <c r="M309" s="7">
        <f>dataset!$L309-T309</f>
        <v>24552</v>
      </c>
      <c r="N309" s="7">
        <f>dataset!$M309/dataset!$L309*100</f>
        <v>36.131386861313871</v>
      </c>
      <c r="O309" s="25">
        <f>dataset!$K309*dataset!$G309</f>
        <v>43400</v>
      </c>
      <c r="P309"/>
      <c r="T309">
        <f>dataset!$K309*dataset!$G309</f>
        <v>43400</v>
      </c>
    </row>
    <row r="310" spans="1:20" x14ac:dyDescent="0.35">
      <c r="A310" s="2">
        <v>45835</v>
      </c>
      <c r="B310">
        <f t="shared" si="9"/>
        <v>27</v>
      </c>
      <c r="C310" t="s">
        <v>35</v>
      </c>
      <c r="D310" t="s">
        <v>27</v>
      </c>
      <c r="E310" t="s">
        <v>39</v>
      </c>
      <c r="F310" t="s">
        <v>47</v>
      </c>
      <c r="G310">
        <v>37</v>
      </c>
      <c r="H310">
        <v>908</v>
      </c>
      <c r="I310" t="s">
        <v>421</v>
      </c>
      <c r="J310" t="s">
        <v>25</v>
      </c>
      <c r="K310">
        <v>800</v>
      </c>
      <c r="L310" s="7">
        <f t="shared" si="8"/>
        <v>33596</v>
      </c>
      <c r="M310" s="7">
        <f>dataset!$L310-T310</f>
        <v>3996</v>
      </c>
      <c r="N310" s="7">
        <f>dataset!$M310/dataset!$L310*100</f>
        <v>11.894273127753303</v>
      </c>
      <c r="O310" s="25">
        <f>dataset!$K310*dataset!$G310</f>
        <v>29600</v>
      </c>
      <c r="P310"/>
      <c r="T310">
        <f>dataset!$K310*dataset!$G310</f>
        <v>29600</v>
      </c>
    </row>
    <row r="311" spans="1:20" x14ac:dyDescent="0.35">
      <c r="A311" s="2">
        <v>45788</v>
      </c>
      <c r="B311">
        <f t="shared" si="9"/>
        <v>11</v>
      </c>
      <c r="C311" t="s">
        <v>35</v>
      </c>
      <c r="D311" t="s">
        <v>16</v>
      </c>
      <c r="E311" t="s">
        <v>30</v>
      </c>
      <c r="F311" t="s">
        <v>18</v>
      </c>
      <c r="G311">
        <v>50</v>
      </c>
      <c r="H311">
        <v>1791</v>
      </c>
      <c r="I311" t="s">
        <v>422</v>
      </c>
      <c r="J311" t="s">
        <v>15</v>
      </c>
      <c r="K311">
        <v>1500</v>
      </c>
      <c r="L311" s="7">
        <f t="shared" si="8"/>
        <v>89550</v>
      </c>
      <c r="M311" s="7">
        <f>dataset!$L311-T311</f>
        <v>14550</v>
      </c>
      <c r="N311" s="7">
        <f>dataset!$M311/dataset!$L311*100</f>
        <v>16.247906197654942</v>
      </c>
      <c r="O311" s="25">
        <f>dataset!$K311*dataset!$G311</f>
        <v>75000</v>
      </c>
      <c r="P311"/>
      <c r="T311">
        <f>dataset!$K311*dataset!$G311</f>
        <v>75000</v>
      </c>
    </row>
    <row r="312" spans="1:20" x14ac:dyDescent="0.35">
      <c r="A312" s="2">
        <v>45825</v>
      </c>
      <c r="B312">
        <f t="shared" si="9"/>
        <v>17</v>
      </c>
      <c r="C312" t="s">
        <v>35</v>
      </c>
      <c r="D312" t="s">
        <v>36</v>
      </c>
      <c r="E312" t="s">
        <v>39</v>
      </c>
      <c r="F312" t="s">
        <v>47</v>
      </c>
      <c r="G312">
        <v>29</v>
      </c>
      <c r="H312">
        <v>1601</v>
      </c>
      <c r="I312" t="s">
        <v>423</v>
      </c>
      <c r="J312" t="s">
        <v>15</v>
      </c>
      <c r="K312">
        <v>1300</v>
      </c>
      <c r="L312" s="7">
        <f t="shared" si="8"/>
        <v>46429</v>
      </c>
      <c r="M312" s="7">
        <f>dataset!$L312-T312</f>
        <v>8729</v>
      </c>
      <c r="N312" s="7">
        <f>dataset!$M312/dataset!$L312*100</f>
        <v>18.800749531542785</v>
      </c>
      <c r="O312" s="25">
        <f>dataset!$K312*dataset!$G312</f>
        <v>37700</v>
      </c>
      <c r="P312"/>
      <c r="T312">
        <f>dataset!$K312*dataset!$G312</f>
        <v>37700</v>
      </c>
    </row>
    <row r="313" spans="1:20" x14ac:dyDescent="0.35">
      <c r="A313" s="2">
        <v>45793</v>
      </c>
      <c r="B313">
        <f t="shared" si="9"/>
        <v>16</v>
      </c>
      <c r="C313" t="s">
        <v>10</v>
      </c>
      <c r="D313" t="s">
        <v>21</v>
      </c>
      <c r="E313" t="s">
        <v>22</v>
      </c>
      <c r="F313" t="s">
        <v>13</v>
      </c>
      <c r="G313">
        <v>10</v>
      </c>
      <c r="H313">
        <v>439</v>
      </c>
      <c r="I313" t="s">
        <v>82</v>
      </c>
      <c r="J313" t="s">
        <v>25</v>
      </c>
      <c r="K313">
        <v>300</v>
      </c>
      <c r="L313" s="7">
        <f t="shared" si="8"/>
        <v>4390</v>
      </c>
      <c r="M313" s="7">
        <f>dataset!$L313-T313</f>
        <v>1390</v>
      </c>
      <c r="N313" s="7">
        <f>dataset!$M313/dataset!$L313*100</f>
        <v>31.662870159453306</v>
      </c>
      <c r="O313" s="25">
        <f>dataset!$K313*dataset!$G313</f>
        <v>3000</v>
      </c>
      <c r="P313"/>
      <c r="T313">
        <f>dataset!$K313*dataset!$G313</f>
        <v>3000</v>
      </c>
    </row>
    <row r="314" spans="1:20" x14ac:dyDescent="0.35">
      <c r="A314" s="2">
        <v>45816</v>
      </c>
      <c r="B314">
        <f t="shared" si="9"/>
        <v>8</v>
      </c>
      <c r="C314" t="s">
        <v>10</v>
      </c>
      <c r="D314" t="s">
        <v>46</v>
      </c>
      <c r="E314" t="s">
        <v>64</v>
      </c>
      <c r="F314" t="s">
        <v>52</v>
      </c>
      <c r="G314">
        <v>46</v>
      </c>
      <c r="H314">
        <v>384</v>
      </c>
      <c r="I314" t="s">
        <v>424</v>
      </c>
      <c r="J314" t="s">
        <v>25</v>
      </c>
      <c r="K314">
        <v>250</v>
      </c>
      <c r="L314" s="7">
        <f t="shared" si="8"/>
        <v>17664</v>
      </c>
      <c r="M314" s="7">
        <f>dataset!$L314-T314</f>
        <v>6164</v>
      </c>
      <c r="N314" s="7">
        <f>dataset!$M314/dataset!$L314*100</f>
        <v>34.895833333333329</v>
      </c>
      <c r="O314" s="25">
        <f>dataset!$K314*dataset!$G314</f>
        <v>11500</v>
      </c>
      <c r="P314"/>
      <c r="T314">
        <f>dataset!$K314*dataset!$G314</f>
        <v>11500</v>
      </c>
    </row>
    <row r="315" spans="1:20" x14ac:dyDescent="0.35">
      <c r="A315" s="2">
        <v>45770</v>
      </c>
      <c r="B315">
        <f t="shared" si="9"/>
        <v>23</v>
      </c>
      <c r="C315" t="s">
        <v>26</v>
      </c>
      <c r="D315" t="s">
        <v>21</v>
      </c>
      <c r="E315" t="s">
        <v>75</v>
      </c>
      <c r="F315" t="s">
        <v>23</v>
      </c>
      <c r="G315">
        <v>50</v>
      </c>
      <c r="H315">
        <v>1622</v>
      </c>
      <c r="I315" t="s">
        <v>425</v>
      </c>
      <c r="J315" t="s">
        <v>25</v>
      </c>
      <c r="K315">
        <v>850</v>
      </c>
      <c r="L315" s="7">
        <f t="shared" si="8"/>
        <v>81100</v>
      </c>
      <c r="M315" s="7">
        <f>dataset!$L315-T315</f>
        <v>38600</v>
      </c>
      <c r="N315" s="7">
        <f>dataset!$M315/dataset!$L315*100</f>
        <v>47.595561035758323</v>
      </c>
      <c r="O315" s="25">
        <f>dataset!$K315*dataset!$G315</f>
        <v>42500</v>
      </c>
      <c r="P315"/>
      <c r="T315">
        <f>dataset!$K315*dataset!$G315</f>
        <v>42500</v>
      </c>
    </row>
    <row r="316" spans="1:20" x14ac:dyDescent="0.35">
      <c r="A316" s="2">
        <v>45806</v>
      </c>
      <c r="B316">
        <f t="shared" si="9"/>
        <v>29</v>
      </c>
      <c r="C316" t="s">
        <v>26</v>
      </c>
      <c r="D316" t="s">
        <v>36</v>
      </c>
      <c r="E316" t="s">
        <v>54</v>
      </c>
      <c r="F316" t="s">
        <v>31</v>
      </c>
      <c r="G316">
        <v>17</v>
      </c>
      <c r="H316">
        <v>2938</v>
      </c>
      <c r="I316" t="s">
        <v>426</v>
      </c>
      <c r="J316" t="s">
        <v>25</v>
      </c>
      <c r="K316">
        <v>1650</v>
      </c>
      <c r="L316" s="7">
        <f t="shared" si="8"/>
        <v>49946</v>
      </c>
      <c r="M316" s="7">
        <f>dataset!$L316-T316</f>
        <v>21896</v>
      </c>
      <c r="N316" s="7">
        <f>dataset!$M316/dataset!$L316*100</f>
        <v>43.83934649421375</v>
      </c>
      <c r="O316" s="25">
        <f>dataset!$K316*dataset!$G316</f>
        <v>28050</v>
      </c>
      <c r="P316"/>
      <c r="T316">
        <f>dataset!$K316*dataset!$G316</f>
        <v>28050</v>
      </c>
    </row>
    <row r="317" spans="1:20" x14ac:dyDescent="0.35">
      <c r="A317" s="2">
        <v>45801</v>
      </c>
      <c r="B317">
        <f t="shared" si="9"/>
        <v>24</v>
      </c>
      <c r="C317" t="s">
        <v>10</v>
      </c>
      <c r="D317" t="s">
        <v>46</v>
      </c>
      <c r="E317" t="s">
        <v>30</v>
      </c>
      <c r="F317" t="s">
        <v>52</v>
      </c>
      <c r="G317">
        <v>36</v>
      </c>
      <c r="H317">
        <v>1361</v>
      </c>
      <c r="I317" t="s">
        <v>427</v>
      </c>
      <c r="J317" t="s">
        <v>15</v>
      </c>
      <c r="K317">
        <v>850</v>
      </c>
      <c r="L317" s="7">
        <f t="shared" si="8"/>
        <v>48996</v>
      </c>
      <c r="M317" s="7">
        <f>dataset!$L317-T317</f>
        <v>18396</v>
      </c>
      <c r="N317" s="7">
        <f>dataset!$M317/dataset!$L317*100</f>
        <v>37.545922116091106</v>
      </c>
      <c r="O317" s="25">
        <f>dataset!$K317*dataset!$G317</f>
        <v>30600</v>
      </c>
      <c r="P317"/>
      <c r="T317">
        <f>dataset!$K317*dataset!$G317</f>
        <v>30600</v>
      </c>
    </row>
    <row r="318" spans="1:20" x14ac:dyDescent="0.35">
      <c r="A318" s="2">
        <v>45783</v>
      </c>
      <c r="B318">
        <f t="shared" si="9"/>
        <v>6</v>
      </c>
      <c r="C318" t="s">
        <v>10</v>
      </c>
      <c r="D318" t="s">
        <v>36</v>
      </c>
      <c r="E318" t="s">
        <v>42</v>
      </c>
      <c r="F318" t="s">
        <v>13</v>
      </c>
      <c r="G318">
        <v>43</v>
      </c>
      <c r="H318">
        <v>2020</v>
      </c>
      <c r="I318" t="s">
        <v>428</v>
      </c>
      <c r="J318" t="s">
        <v>15</v>
      </c>
      <c r="K318">
        <v>1200</v>
      </c>
      <c r="L318" s="7">
        <f t="shared" si="8"/>
        <v>86860</v>
      </c>
      <c r="M318" s="7">
        <f>dataset!$L318-T318</f>
        <v>35260</v>
      </c>
      <c r="N318" s="7">
        <f>dataset!$M318/dataset!$L318*100</f>
        <v>40.594059405940598</v>
      </c>
      <c r="O318" s="25">
        <f>dataset!$K318*dataset!$G318</f>
        <v>51600</v>
      </c>
      <c r="P318"/>
      <c r="T318">
        <f>dataset!$K318*dataset!$G318</f>
        <v>51600</v>
      </c>
    </row>
    <row r="319" spans="1:20" x14ac:dyDescent="0.35">
      <c r="A319" s="2">
        <v>45766</v>
      </c>
      <c r="B319">
        <f t="shared" si="9"/>
        <v>19</v>
      </c>
      <c r="C319" t="s">
        <v>29</v>
      </c>
      <c r="D319" t="s">
        <v>66</v>
      </c>
      <c r="E319" t="s">
        <v>30</v>
      </c>
      <c r="F319" t="s">
        <v>59</v>
      </c>
      <c r="G319">
        <v>13</v>
      </c>
      <c r="H319">
        <v>1191</v>
      </c>
      <c r="I319" t="s">
        <v>429</v>
      </c>
      <c r="J319" t="s">
        <v>25</v>
      </c>
      <c r="K319">
        <v>950</v>
      </c>
      <c r="L319" s="7">
        <f t="shared" si="8"/>
        <v>15483</v>
      </c>
      <c r="M319" s="7">
        <f>dataset!$L319-T319</f>
        <v>3133</v>
      </c>
      <c r="N319" s="7">
        <f>dataset!$M319/dataset!$L319*100</f>
        <v>20.235096557514691</v>
      </c>
      <c r="O319" s="25">
        <f>dataset!$K319*dataset!$G319</f>
        <v>12350</v>
      </c>
      <c r="P319"/>
      <c r="T319">
        <f>dataset!$K319*dataset!$G319</f>
        <v>12350</v>
      </c>
    </row>
    <row r="320" spans="1:20" x14ac:dyDescent="0.35">
      <c r="A320" s="2">
        <v>45750</v>
      </c>
      <c r="B320">
        <f t="shared" si="9"/>
        <v>3</v>
      </c>
      <c r="C320" t="s">
        <v>10</v>
      </c>
      <c r="D320" t="s">
        <v>33</v>
      </c>
      <c r="E320" t="s">
        <v>64</v>
      </c>
      <c r="F320" t="s">
        <v>59</v>
      </c>
      <c r="G320">
        <v>9</v>
      </c>
      <c r="H320">
        <v>334</v>
      </c>
      <c r="I320" t="s">
        <v>430</v>
      </c>
      <c r="J320" t="s">
        <v>15</v>
      </c>
      <c r="K320">
        <v>200</v>
      </c>
      <c r="L320" s="7">
        <f t="shared" si="8"/>
        <v>3006</v>
      </c>
      <c r="M320" s="7">
        <f>dataset!$L320-T320</f>
        <v>1206</v>
      </c>
      <c r="N320" s="7">
        <f>dataset!$M320/dataset!$L320*100</f>
        <v>40.119760479041915</v>
      </c>
      <c r="O320" s="25">
        <f>dataset!$K320*dataset!$G320</f>
        <v>1800</v>
      </c>
      <c r="P320"/>
      <c r="T320">
        <f>dataset!$K320*dataset!$G320</f>
        <v>1800</v>
      </c>
    </row>
    <row r="321" spans="1:20" x14ac:dyDescent="0.35">
      <c r="A321" s="2">
        <v>45751</v>
      </c>
      <c r="B321">
        <f t="shared" si="9"/>
        <v>4</v>
      </c>
      <c r="C321" t="s">
        <v>10</v>
      </c>
      <c r="D321" t="s">
        <v>36</v>
      </c>
      <c r="E321" t="s">
        <v>22</v>
      </c>
      <c r="F321" t="s">
        <v>18</v>
      </c>
      <c r="G321">
        <v>46</v>
      </c>
      <c r="H321">
        <v>2663</v>
      </c>
      <c r="I321" t="s">
        <v>431</v>
      </c>
      <c r="J321" t="s">
        <v>15</v>
      </c>
      <c r="K321">
        <v>2350</v>
      </c>
      <c r="L321" s="7">
        <f t="shared" si="8"/>
        <v>122498</v>
      </c>
      <c r="M321" s="7">
        <f>dataset!$L321-T321</f>
        <v>14398</v>
      </c>
      <c r="N321" s="7">
        <f>dataset!$M321/dataset!$L321*100</f>
        <v>11.753661284265865</v>
      </c>
      <c r="O321" s="25">
        <f>dataset!$K321*dataset!$G321</f>
        <v>108100</v>
      </c>
      <c r="P321"/>
      <c r="T321">
        <f>dataset!$K321*dataset!$G321</f>
        <v>108100</v>
      </c>
    </row>
    <row r="322" spans="1:20" x14ac:dyDescent="0.35">
      <c r="A322" s="2">
        <v>45766</v>
      </c>
      <c r="B322">
        <f t="shared" si="9"/>
        <v>19</v>
      </c>
      <c r="C322" t="s">
        <v>29</v>
      </c>
      <c r="D322" t="s">
        <v>46</v>
      </c>
      <c r="E322" t="s">
        <v>17</v>
      </c>
      <c r="F322" t="s">
        <v>59</v>
      </c>
      <c r="G322">
        <v>27</v>
      </c>
      <c r="H322">
        <v>838</v>
      </c>
      <c r="I322" t="s">
        <v>432</v>
      </c>
      <c r="J322" t="s">
        <v>15</v>
      </c>
      <c r="K322">
        <v>650</v>
      </c>
      <c r="L322" s="7">
        <f t="shared" ref="L322:L385" si="10">G322*H322</f>
        <v>22626</v>
      </c>
      <c r="M322" s="7">
        <f>dataset!$L322-T322</f>
        <v>5076</v>
      </c>
      <c r="N322" s="7">
        <f>dataset!$M322/dataset!$L322*100</f>
        <v>22.434367541766107</v>
      </c>
      <c r="O322" s="25">
        <f>dataset!$K322*dataset!$G322</f>
        <v>17550</v>
      </c>
      <c r="P322"/>
      <c r="T322">
        <f>dataset!$K322*dataset!$G322</f>
        <v>17550</v>
      </c>
    </row>
    <row r="323" spans="1:20" x14ac:dyDescent="0.35">
      <c r="A323" s="2">
        <v>45831</v>
      </c>
      <c r="B323">
        <f t="shared" ref="B323:B386" si="11">DAY(A323)</f>
        <v>23</v>
      </c>
      <c r="C323" t="s">
        <v>29</v>
      </c>
      <c r="D323" t="s">
        <v>27</v>
      </c>
      <c r="E323" t="s">
        <v>22</v>
      </c>
      <c r="F323" t="s">
        <v>18</v>
      </c>
      <c r="G323">
        <v>40</v>
      </c>
      <c r="H323">
        <v>2257</v>
      </c>
      <c r="I323" t="s">
        <v>433</v>
      </c>
      <c r="J323" t="s">
        <v>15</v>
      </c>
      <c r="K323">
        <v>1950</v>
      </c>
      <c r="L323" s="7">
        <f t="shared" si="10"/>
        <v>90280</v>
      </c>
      <c r="M323" s="7">
        <f>dataset!$L323-T323</f>
        <v>12280</v>
      </c>
      <c r="N323" s="7">
        <f>dataset!$M323/dataset!$L323*100</f>
        <v>13.602126716880816</v>
      </c>
      <c r="O323" s="25">
        <f>dataset!$K323*dataset!$G323</f>
        <v>78000</v>
      </c>
      <c r="P323"/>
      <c r="T323">
        <f>dataset!$K323*dataset!$G323</f>
        <v>78000</v>
      </c>
    </row>
    <row r="324" spans="1:20" x14ac:dyDescent="0.35">
      <c r="A324" s="2">
        <v>45755</v>
      </c>
      <c r="B324">
        <f t="shared" si="11"/>
        <v>8</v>
      </c>
      <c r="C324" t="s">
        <v>35</v>
      </c>
      <c r="D324" t="s">
        <v>33</v>
      </c>
      <c r="E324" t="s">
        <v>22</v>
      </c>
      <c r="F324" t="s">
        <v>18</v>
      </c>
      <c r="G324">
        <v>15</v>
      </c>
      <c r="H324">
        <v>813</v>
      </c>
      <c r="I324" t="s">
        <v>83</v>
      </c>
      <c r="J324" t="s">
        <v>25</v>
      </c>
      <c r="K324">
        <v>650</v>
      </c>
      <c r="L324" s="7">
        <f t="shared" si="10"/>
        <v>12195</v>
      </c>
      <c r="M324" s="7">
        <f>dataset!$L324-T324</f>
        <v>2445</v>
      </c>
      <c r="N324" s="7">
        <f>dataset!$M324/dataset!$L324*100</f>
        <v>20.049200492004921</v>
      </c>
      <c r="O324" s="25">
        <f>dataset!$K324*dataset!$G324</f>
        <v>9750</v>
      </c>
      <c r="P324"/>
      <c r="T324">
        <f>dataset!$K324*dataset!$G324</f>
        <v>9750</v>
      </c>
    </row>
    <row r="325" spans="1:20" x14ac:dyDescent="0.35">
      <c r="A325" s="2">
        <v>45829</v>
      </c>
      <c r="B325">
        <f t="shared" si="11"/>
        <v>21</v>
      </c>
      <c r="C325" t="s">
        <v>29</v>
      </c>
      <c r="D325" t="s">
        <v>16</v>
      </c>
      <c r="E325" t="s">
        <v>54</v>
      </c>
      <c r="F325" t="s">
        <v>47</v>
      </c>
      <c r="G325">
        <v>32</v>
      </c>
      <c r="H325">
        <v>2861</v>
      </c>
      <c r="I325" t="s">
        <v>434</v>
      </c>
      <c r="J325" t="s">
        <v>25</v>
      </c>
      <c r="K325">
        <v>1800</v>
      </c>
      <c r="L325" s="7">
        <f t="shared" si="10"/>
        <v>91552</v>
      </c>
      <c r="M325" s="7">
        <f>dataset!$L325-T325</f>
        <v>33952</v>
      </c>
      <c r="N325" s="7">
        <f>dataset!$M325/dataset!$L325*100</f>
        <v>37.084935337294652</v>
      </c>
      <c r="O325" s="25">
        <f>dataset!$K325*dataset!$G325</f>
        <v>57600</v>
      </c>
      <c r="P325"/>
      <c r="T325">
        <f>dataset!$K325*dataset!$G325</f>
        <v>57600</v>
      </c>
    </row>
    <row r="326" spans="1:20" x14ac:dyDescent="0.35">
      <c r="A326" s="2">
        <v>45830</v>
      </c>
      <c r="B326">
        <f t="shared" si="11"/>
        <v>22</v>
      </c>
      <c r="C326" t="s">
        <v>26</v>
      </c>
      <c r="D326" t="s">
        <v>16</v>
      </c>
      <c r="E326" t="s">
        <v>67</v>
      </c>
      <c r="F326" t="s">
        <v>31</v>
      </c>
      <c r="G326">
        <v>37</v>
      </c>
      <c r="H326">
        <v>2067</v>
      </c>
      <c r="I326" t="s">
        <v>435</v>
      </c>
      <c r="J326" t="s">
        <v>25</v>
      </c>
      <c r="K326">
        <v>1800</v>
      </c>
      <c r="L326" s="7">
        <f t="shared" si="10"/>
        <v>76479</v>
      </c>
      <c r="M326" s="7">
        <f>dataset!$L326-T326</f>
        <v>9879</v>
      </c>
      <c r="N326" s="7">
        <f>dataset!$M326/dataset!$L326*100</f>
        <v>12.917271407837447</v>
      </c>
      <c r="O326" s="25">
        <f>dataset!$K326*dataset!$G326</f>
        <v>66600</v>
      </c>
      <c r="P326"/>
      <c r="T326">
        <f>dataset!$K326*dataset!$G326</f>
        <v>66600</v>
      </c>
    </row>
    <row r="327" spans="1:20" x14ac:dyDescent="0.35">
      <c r="A327" s="2">
        <v>45751</v>
      </c>
      <c r="B327">
        <f t="shared" si="11"/>
        <v>4</v>
      </c>
      <c r="C327" t="s">
        <v>10</v>
      </c>
      <c r="D327" t="s">
        <v>11</v>
      </c>
      <c r="E327" t="s">
        <v>54</v>
      </c>
      <c r="F327" t="s">
        <v>47</v>
      </c>
      <c r="G327">
        <v>11</v>
      </c>
      <c r="H327">
        <v>2013</v>
      </c>
      <c r="I327" t="s">
        <v>436</v>
      </c>
      <c r="J327" t="s">
        <v>25</v>
      </c>
      <c r="K327">
        <v>1650</v>
      </c>
      <c r="L327" s="7">
        <f t="shared" si="10"/>
        <v>22143</v>
      </c>
      <c r="M327" s="7">
        <f>dataset!$L327-T327</f>
        <v>3993</v>
      </c>
      <c r="N327" s="7">
        <f>dataset!$M327/dataset!$L327*100</f>
        <v>18.032786885245901</v>
      </c>
      <c r="O327" s="25">
        <f>dataset!$K327*dataset!$G327</f>
        <v>18150</v>
      </c>
      <c r="P327"/>
      <c r="T327">
        <f>dataset!$K327*dataset!$G327</f>
        <v>18150</v>
      </c>
    </row>
    <row r="328" spans="1:20" x14ac:dyDescent="0.35">
      <c r="A328" s="2">
        <v>45837</v>
      </c>
      <c r="B328">
        <f t="shared" si="11"/>
        <v>29</v>
      </c>
      <c r="C328" t="s">
        <v>35</v>
      </c>
      <c r="D328" t="s">
        <v>27</v>
      </c>
      <c r="E328" t="s">
        <v>64</v>
      </c>
      <c r="F328" t="s">
        <v>37</v>
      </c>
      <c r="G328">
        <v>20</v>
      </c>
      <c r="H328">
        <v>1083</v>
      </c>
      <c r="I328" t="s">
        <v>437</v>
      </c>
      <c r="J328" t="s">
        <v>15</v>
      </c>
      <c r="K328">
        <v>950</v>
      </c>
      <c r="L328" s="7">
        <f t="shared" si="10"/>
        <v>21660</v>
      </c>
      <c r="M328" s="7">
        <f>dataset!$L328-T328</f>
        <v>2660</v>
      </c>
      <c r="N328" s="7">
        <f>dataset!$M328/dataset!$L328*100</f>
        <v>12.280701754385964</v>
      </c>
      <c r="O328" s="25">
        <f>dataset!$K328*dataset!$G328</f>
        <v>19000</v>
      </c>
      <c r="P328"/>
      <c r="T328">
        <f>dataset!$K328*dataset!$G328</f>
        <v>19000</v>
      </c>
    </row>
    <row r="329" spans="1:20" x14ac:dyDescent="0.35">
      <c r="A329" s="2">
        <v>45799</v>
      </c>
      <c r="B329">
        <f t="shared" si="11"/>
        <v>22</v>
      </c>
      <c r="C329" t="s">
        <v>10</v>
      </c>
      <c r="D329" t="s">
        <v>21</v>
      </c>
      <c r="E329" t="s">
        <v>64</v>
      </c>
      <c r="F329" t="s">
        <v>59</v>
      </c>
      <c r="G329">
        <v>36</v>
      </c>
      <c r="H329">
        <v>1559</v>
      </c>
      <c r="I329" t="s">
        <v>438</v>
      </c>
      <c r="J329" t="s">
        <v>15</v>
      </c>
      <c r="K329">
        <v>1250</v>
      </c>
      <c r="L329" s="7">
        <f t="shared" si="10"/>
        <v>56124</v>
      </c>
      <c r="M329" s="7">
        <f>dataset!$L329-T329</f>
        <v>11124</v>
      </c>
      <c r="N329" s="7">
        <f>dataset!$M329/dataset!$L329*100</f>
        <v>19.820397690827456</v>
      </c>
      <c r="O329" s="25">
        <f>dataset!$K329*dataset!$G329</f>
        <v>45000</v>
      </c>
      <c r="P329"/>
      <c r="T329">
        <f>dataset!$K329*dataset!$G329</f>
        <v>45000</v>
      </c>
    </row>
    <row r="330" spans="1:20" x14ac:dyDescent="0.35">
      <c r="A330" s="2">
        <v>45827</v>
      </c>
      <c r="B330">
        <f t="shared" si="11"/>
        <v>19</v>
      </c>
      <c r="C330" t="s">
        <v>35</v>
      </c>
      <c r="D330" t="s">
        <v>27</v>
      </c>
      <c r="E330" t="s">
        <v>12</v>
      </c>
      <c r="F330" t="s">
        <v>59</v>
      </c>
      <c r="G330">
        <v>6</v>
      </c>
      <c r="H330">
        <v>1399</v>
      </c>
      <c r="I330" t="s">
        <v>439</v>
      </c>
      <c r="J330" t="s">
        <v>15</v>
      </c>
      <c r="K330">
        <v>1150</v>
      </c>
      <c r="L330" s="7">
        <f t="shared" si="10"/>
        <v>8394</v>
      </c>
      <c r="M330" s="7">
        <f>dataset!$L330-T330</f>
        <v>1494</v>
      </c>
      <c r="N330" s="7">
        <f>dataset!$M330/dataset!$L330*100</f>
        <v>17.798427448177272</v>
      </c>
      <c r="O330" s="25">
        <f>dataset!$K330*dataset!$G330</f>
        <v>6900</v>
      </c>
      <c r="P330"/>
      <c r="T330">
        <f>dataset!$K330*dataset!$G330</f>
        <v>6900</v>
      </c>
    </row>
    <row r="331" spans="1:20" x14ac:dyDescent="0.35">
      <c r="A331" s="2">
        <v>45797</v>
      </c>
      <c r="B331">
        <f t="shared" si="11"/>
        <v>20</v>
      </c>
      <c r="C331" t="s">
        <v>35</v>
      </c>
      <c r="D331" t="s">
        <v>11</v>
      </c>
      <c r="E331" t="s">
        <v>75</v>
      </c>
      <c r="F331" t="s">
        <v>13</v>
      </c>
      <c r="G331">
        <v>40</v>
      </c>
      <c r="H331">
        <v>1977</v>
      </c>
      <c r="I331" t="s">
        <v>440</v>
      </c>
      <c r="J331" t="s">
        <v>15</v>
      </c>
      <c r="K331">
        <v>1150</v>
      </c>
      <c r="L331" s="7">
        <f t="shared" si="10"/>
        <v>79080</v>
      </c>
      <c r="M331" s="7">
        <f>dataset!$L331-T331</f>
        <v>33080</v>
      </c>
      <c r="N331" s="7">
        <f>dataset!$M331/dataset!$L331*100</f>
        <v>41.831057157309054</v>
      </c>
      <c r="O331" s="25">
        <f>dataset!$K331*dataset!$G331</f>
        <v>46000</v>
      </c>
      <c r="P331"/>
      <c r="T331">
        <f>dataset!$K331*dataset!$G331</f>
        <v>46000</v>
      </c>
    </row>
    <row r="332" spans="1:20" x14ac:dyDescent="0.35">
      <c r="A332" s="2">
        <v>45765</v>
      </c>
      <c r="B332">
        <f t="shared" si="11"/>
        <v>18</v>
      </c>
      <c r="C332" t="s">
        <v>20</v>
      </c>
      <c r="D332" t="s">
        <v>66</v>
      </c>
      <c r="E332" t="s">
        <v>17</v>
      </c>
      <c r="F332" t="s">
        <v>56</v>
      </c>
      <c r="G332">
        <v>40</v>
      </c>
      <c r="H332">
        <v>1281</v>
      </c>
      <c r="I332" t="s">
        <v>441</v>
      </c>
      <c r="J332" t="s">
        <v>25</v>
      </c>
      <c r="K332">
        <v>1100</v>
      </c>
      <c r="L332" s="7">
        <f t="shared" si="10"/>
        <v>51240</v>
      </c>
      <c r="M332" s="7">
        <f>dataset!$L332-T332</f>
        <v>7240</v>
      </c>
      <c r="N332" s="7">
        <f>dataset!$M332/dataset!$L332*100</f>
        <v>14.129586260733801</v>
      </c>
      <c r="O332" s="25">
        <f>dataset!$K332*dataset!$G332</f>
        <v>44000</v>
      </c>
      <c r="P332"/>
      <c r="T332">
        <f>dataset!$K332*dataset!$G332</f>
        <v>44000</v>
      </c>
    </row>
    <row r="333" spans="1:20" x14ac:dyDescent="0.35">
      <c r="A333" s="2">
        <v>45758</v>
      </c>
      <c r="B333">
        <f t="shared" si="11"/>
        <v>11</v>
      </c>
      <c r="C333" t="s">
        <v>35</v>
      </c>
      <c r="D333" t="s">
        <v>11</v>
      </c>
      <c r="E333" t="s">
        <v>64</v>
      </c>
      <c r="F333" t="s">
        <v>59</v>
      </c>
      <c r="G333">
        <v>14</v>
      </c>
      <c r="H333">
        <v>2391</v>
      </c>
      <c r="I333" t="s">
        <v>442</v>
      </c>
      <c r="J333" t="s">
        <v>25</v>
      </c>
      <c r="K333">
        <v>1600</v>
      </c>
      <c r="L333" s="7">
        <f t="shared" si="10"/>
        <v>33474</v>
      </c>
      <c r="M333" s="7">
        <f>dataset!$L333-T333</f>
        <v>11074</v>
      </c>
      <c r="N333" s="7">
        <f>dataset!$M333/dataset!$L333*100</f>
        <v>33.082392304475114</v>
      </c>
      <c r="O333" s="25">
        <f>dataset!$K333*dataset!$G333</f>
        <v>22400</v>
      </c>
      <c r="P333"/>
      <c r="T333">
        <f>dataset!$K333*dataset!$G333</f>
        <v>22400</v>
      </c>
    </row>
    <row r="334" spans="1:20" x14ac:dyDescent="0.35">
      <c r="A334" s="2">
        <v>45820</v>
      </c>
      <c r="B334">
        <f t="shared" si="11"/>
        <v>12</v>
      </c>
      <c r="C334" t="s">
        <v>26</v>
      </c>
      <c r="D334" t="s">
        <v>21</v>
      </c>
      <c r="E334" t="s">
        <v>64</v>
      </c>
      <c r="F334" t="s">
        <v>18</v>
      </c>
      <c r="G334">
        <v>25</v>
      </c>
      <c r="H334">
        <v>1764</v>
      </c>
      <c r="I334" t="s">
        <v>443</v>
      </c>
      <c r="J334" t="s">
        <v>15</v>
      </c>
      <c r="K334">
        <v>1400</v>
      </c>
      <c r="L334" s="7">
        <f t="shared" si="10"/>
        <v>44100</v>
      </c>
      <c r="M334" s="7">
        <f>dataset!$L334-T334</f>
        <v>9100</v>
      </c>
      <c r="N334" s="7">
        <f>dataset!$M334/dataset!$L334*100</f>
        <v>20.634920634920633</v>
      </c>
      <c r="O334" s="25">
        <f>dataset!$K334*dataset!$G334</f>
        <v>35000</v>
      </c>
      <c r="P334"/>
      <c r="T334">
        <f>dataset!$K334*dataset!$G334</f>
        <v>35000</v>
      </c>
    </row>
    <row r="335" spans="1:20" x14ac:dyDescent="0.35">
      <c r="A335" s="2">
        <v>45759</v>
      </c>
      <c r="B335">
        <f t="shared" si="11"/>
        <v>12</v>
      </c>
      <c r="C335" t="s">
        <v>26</v>
      </c>
      <c r="D335" t="s">
        <v>27</v>
      </c>
      <c r="E335" t="s">
        <v>22</v>
      </c>
      <c r="F335" t="s">
        <v>23</v>
      </c>
      <c r="G335">
        <v>37</v>
      </c>
      <c r="H335">
        <v>2958</v>
      </c>
      <c r="I335" t="s">
        <v>28</v>
      </c>
      <c r="J335" t="s">
        <v>15</v>
      </c>
      <c r="K335">
        <v>1750</v>
      </c>
      <c r="L335" s="7">
        <f t="shared" si="10"/>
        <v>109446</v>
      </c>
      <c r="M335" s="7">
        <f>dataset!$L335-T335</f>
        <v>44696</v>
      </c>
      <c r="N335" s="7">
        <f>dataset!$M335/dataset!$L335*100</f>
        <v>40.838404327248142</v>
      </c>
      <c r="O335" s="25">
        <f>dataset!$K335*dataset!$G335</f>
        <v>64750</v>
      </c>
      <c r="P335"/>
      <c r="T335">
        <f>dataset!$K335*dataset!$G335</f>
        <v>64750</v>
      </c>
    </row>
    <row r="336" spans="1:20" x14ac:dyDescent="0.35">
      <c r="A336" s="2">
        <v>45762</v>
      </c>
      <c r="B336">
        <f t="shared" si="11"/>
        <v>15</v>
      </c>
      <c r="C336" t="s">
        <v>20</v>
      </c>
      <c r="D336" t="s">
        <v>16</v>
      </c>
      <c r="E336" t="s">
        <v>67</v>
      </c>
      <c r="F336" t="s">
        <v>52</v>
      </c>
      <c r="G336">
        <v>40</v>
      </c>
      <c r="H336">
        <v>659</v>
      </c>
      <c r="I336" t="s">
        <v>84</v>
      </c>
      <c r="J336" t="s">
        <v>15</v>
      </c>
      <c r="K336">
        <v>400</v>
      </c>
      <c r="L336" s="7">
        <f t="shared" si="10"/>
        <v>26360</v>
      </c>
      <c r="M336" s="7">
        <f>dataset!$L336-T336</f>
        <v>10360</v>
      </c>
      <c r="N336" s="7">
        <f>dataset!$M336/dataset!$L336*100</f>
        <v>39.301972685887712</v>
      </c>
      <c r="O336" s="25">
        <f>dataset!$K336*dataset!$G336</f>
        <v>16000</v>
      </c>
      <c r="P336"/>
      <c r="T336">
        <f>dataset!$K336*dataset!$G336</f>
        <v>16000</v>
      </c>
    </row>
    <row r="337" spans="1:20" x14ac:dyDescent="0.35">
      <c r="A337" s="2">
        <v>45784</v>
      </c>
      <c r="B337">
        <f t="shared" si="11"/>
        <v>7</v>
      </c>
      <c r="C337" t="s">
        <v>10</v>
      </c>
      <c r="D337" t="s">
        <v>16</v>
      </c>
      <c r="E337" t="s">
        <v>42</v>
      </c>
      <c r="F337" t="s">
        <v>56</v>
      </c>
      <c r="G337">
        <v>28</v>
      </c>
      <c r="H337">
        <v>1274</v>
      </c>
      <c r="I337" t="s">
        <v>444</v>
      </c>
      <c r="J337" t="s">
        <v>15</v>
      </c>
      <c r="K337">
        <v>700</v>
      </c>
      <c r="L337" s="7">
        <f t="shared" si="10"/>
        <v>35672</v>
      </c>
      <c r="M337" s="7">
        <f>dataset!$L337-T337</f>
        <v>16072</v>
      </c>
      <c r="N337" s="7">
        <f>dataset!$M337/dataset!$L337*100</f>
        <v>45.054945054945058</v>
      </c>
      <c r="O337" s="25">
        <f>dataset!$K337*dataset!$G337</f>
        <v>19600</v>
      </c>
      <c r="P337"/>
      <c r="T337">
        <f>dataset!$K337*dataset!$G337</f>
        <v>19600</v>
      </c>
    </row>
    <row r="338" spans="1:20" x14ac:dyDescent="0.35">
      <c r="A338" s="2">
        <v>45750</v>
      </c>
      <c r="B338">
        <f t="shared" si="11"/>
        <v>3</v>
      </c>
      <c r="C338" t="s">
        <v>29</v>
      </c>
      <c r="D338" t="s">
        <v>27</v>
      </c>
      <c r="E338" t="s">
        <v>42</v>
      </c>
      <c r="F338" t="s">
        <v>23</v>
      </c>
      <c r="G338">
        <v>18</v>
      </c>
      <c r="H338">
        <v>2929</v>
      </c>
      <c r="I338" t="s">
        <v>445</v>
      </c>
      <c r="J338" t="s">
        <v>25</v>
      </c>
      <c r="K338">
        <v>1950</v>
      </c>
      <c r="L338" s="7">
        <f t="shared" si="10"/>
        <v>52722</v>
      </c>
      <c r="M338" s="7">
        <f>dataset!$L338-T338</f>
        <v>17622</v>
      </c>
      <c r="N338" s="7">
        <f>dataset!$M338/dataset!$L338*100</f>
        <v>33.424376920450669</v>
      </c>
      <c r="O338" s="25">
        <f>dataset!$K338*dataset!$G338</f>
        <v>35100</v>
      </c>
      <c r="P338"/>
      <c r="T338">
        <f>dataset!$K338*dataset!$G338</f>
        <v>35100</v>
      </c>
    </row>
    <row r="339" spans="1:20" x14ac:dyDescent="0.35">
      <c r="A339" s="2">
        <v>45817</v>
      </c>
      <c r="B339">
        <f t="shared" si="11"/>
        <v>9</v>
      </c>
      <c r="C339" t="s">
        <v>20</v>
      </c>
      <c r="D339" t="s">
        <v>11</v>
      </c>
      <c r="E339" t="s">
        <v>54</v>
      </c>
      <c r="F339" t="s">
        <v>47</v>
      </c>
      <c r="G339">
        <v>40</v>
      </c>
      <c r="H339">
        <v>2719</v>
      </c>
      <c r="I339" t="s">
        <v>446</v>
      </c>
      <c r="J339" t="s">
        <v>25</v>
      </c>
      <c r="K339">
        <v>1350</v>
      </c>
      <c r="L339" s="7">
        <f t="shared" si="10"/>
        <v>108760</v>
      </c>
      <c r="M339" s="7">
        <f>dataset!$L339-T339</f>
        <v>54760</v>
      </c>
      <c r="N339" s="7">
        <f>dataset!$M339/dataset!$L339*100</f>
        <v>50.349393159249722</v>
      </c>
      <c r="O339" s="25">
        <f>dataset!$K339*dataset!$G339</f>
        <v>54000</v>
      </c>
      <c r="P339"/>
      <c r="T339">
        <f>dataset!$K339*dataset!$G339</f>
        <v>54000</v>
      </c>
    </row>
    <row r="340" spans="1:20" x14ac:dyDescent="0.35">
      <c r="A340" s="2">
        <v>45806</v>
      </c>
      <c r="B340">
        <f t="shared" si="11"/>
        <v>29</v>
      </c>
      <c r="C340" t="s">
        <v>29</v>
      </c>
      <c r="D340" t="s">
        <v>66</v>
      </c>
      <c r="E340" t="s">
        <v>39</v>
      </c>
      <c r="F340" t="s">
        <v>40</v>
      </c>
      <c r="G340">
        <v>34</v>
      </c>
      <c r="H340">
        <v>616</v>
      </c>
      <c r="I340" t="s">
        <v>447</v>
      </c>
      <c r="J340" t="s">
        <v>25</v>
      </c>
      <c r="K340">
        <v>550</v>
      </c>
      <c r="L340" s="7">
        <f t="shared" si="10"/>
        <v>20944</v>
      </c>
      <c r="M340" s="7">
        <f>dataset!$L340-T340</f>
        <v>2244</v>
      </c>
      <c r="N340" s="7">
        <f>dataset!$M340/dataset!$L340*100</f>
        <v>10.714285714285714</v>
      </c>
      <c r="O340" s="25">
        <f>dataset!$K340*dataset!$G340</f>
        <v>18700</v>
      </c>
      <c r="P340"/>
      <c r="T340">
        <f>dataset!$K340*dataset!$G340</f>
        <v>18700</v>
      </c>
    </row>
    <row r="341" spans="1:20" x14ac:dyDescent="0.35">
      <c r="A341" s="2">
        <v>45833</v>
      </c>
      <c r="B341">
        <f t="shared" si="11"/>
        <v>25</v>
      </c>
      <c r="C341" t="s">
        <v>29</v>
      </c>
      <c r="D341" t="s">
        <v>16</v>
      </c>
      <c r="E341" t="s">
        <v>67</v>
      </c>
      <c r="F341" t="s">
        <v>23</v>
      </c>
      <c r="G341">
        <v>38</v>
      </c>
      <c r="H341">
        <v>2728</v>
      </c>
      <c r="I341" t="s">
        <v>448</v>
      </c>
      <c r="J341" t="s">
        <v>25</v>
      </c>
      <c r="K341">
        <v>1800</v>
      </c>
      <c r="L341" s="7">
        <f t="shared" si="10"/>
        <v>103664</v>
      </c>
      <c r="M341" s="7">
        <f>dataset!$L341-T341</f>
        <v>35264</v>
      </c>
      <c r="N341" s="7">
        <f>dataset!$M341/dataset!$L341*100</f>
        <v>34.017595307917887</v>
      </c>
      <c r="O341" s="25">
        <f>dataset!$K341*dataset!$G341</f>
        <v>68400</v>
      </c>
      <c r="P341"/>
      <c r="T341">
        <f>dataset!$K341*dataset!$G341</f>
        <v>68400</v>
      </c>
    </row>
    <row r="342" spans="1:20" x14ac:dyDescent="0.35">
      <c r="A342" s="2">
        <v>45811</v>
      </c>
      <c r="B342">
        <f t="shared" si="11"/>
        <v>3</v>
      </c>
      <c r="C342" t="s">
        <v>20</v>
      </c>
      <c r="D342" t="s">
        <v>16</v>
      </c>
      <c r="E342" t="s">
        <v>64</v>
      </c>
      <c r="F342" t="s">
        <v>52</v>
      </c>
      <c r="G342">
        <v>50</v>
      </c>
      <c r="H342">
        <v>1766</v>
      </c>
      <c r="I342" t="s">
        <v>449</v>
      </c>
      <c r="J342" t="s">
        <v>25</v>
      </c>
      <c r="K342">
        <v>1100</v>
      </c>
      <c r="L342" s="7">
        <f t="shared" si="10"/>
        <v>88300</v>
      </c>
      <c r="M342" s="7">
        <f>dataset!$L342-T342</f>
        <v>33300</v>
      </c>
      <c r="N342" s="7">
        <f>dataset!$M342/dataset!$L342*100</f>
        <v>37.712344280860705</v>
      </c>
      <c r="O342" s="25">
        <f>dataset!$K342*dataset!$G342</f>
        <v>55000</v>
      </c>
      <c r="P342"/>
      <c r="T342">
        <f>dataset!$K342*dataset!$G342</f>
        <v>55000</v>
      </c>
    </row>
    <row r="343" spans="1:20" x14ac:dyDescent="0.35">
      <c r="A343" s="2">
        <v>45791</v>
      </c>
      <c r="B343">
        <f t="shared" si="11"/>
        <v>14</v>
      </c>
      <c r="C343" t="s">
        <v>29</v>
      </c>
      <c r="D343" t="s">
        <v>36</v>
      </c>
      <c r="E343" t="s">
        <v>30</v>
      </c>
      <c r="F343" t="s">
        <v>56</v>
      </c>
      <c r="G343">
        <v>34</v>
      </c>
      <c r="H343">
        <v>647</v>
      </c>
      <c r="I343" t="s">
        <v>450</v>
      </c>
      <c r="J343" t="s">
        <v>25</v>
      </c>
      <c r="K343">
        <v>450</v>
      </c>
      <c r="L343" s="7">
        <f t="shared" si="10"/>
        <v>21998</v>
      </c>
      <c r="M343" s="7">
        <f>dataset!$L343-T343</f>
        <v>6698</v>
      </c>
      <c r="N343" s="7">
        <f>dataset!$M343/dataset!$L343*100</f>
        <v>30.448222565687789</v>
      </c>
      <c r="O343" s="25">
        <f>dataset!$K343*dataset!$G343</f>
        <v>15300</v>
      </c>
      <c r="P343"/>
      <c r="T343">
        <f>dataset!$K343*dataset!$G343</f>
        <v>15300</v>
      </c>
    </row>
    <row r="344" spans="1:20" x14ac:dyDescent="0.35">
      <c r="A344" s="2">
        <v>45749</v>
      </c>
      <c r="B344">
        <f t="shared" si="11"/>
        <v>2</v>
      </c>
      <c r="C344" t="s">
        <v>29</v>
      </c>
      <c r="D344" t="s">
        <v>11</v>
      </c>
      <c r="E344" t="s">
        <v>67</v>
      </c>
      <c r="F344" t="s">
        <v>40</v>
      </c>
      <c r="G344">
        <v>32</v>
      </c>
      <c r="H344">
        <v>2800</v>
      </c>
      <c r="I344" t="s">
        <v>451</v>
      </c>
      <c r="J344" t="s">
        <v>15</v>
      </c>
      <c r="K344">
        <v>1950</v>
      </c>
      <c r="L344" s="7">
        <f t="shared" si="10"/>
        <v>89600</v>
      </c>
      <c r="M344" s="7">
        <f>dataset!$L344-T344</f>
        <v>27200</v>
      </c>
      <c r="N344" s="7">
        <f>dataset!$M344/dataset!$L344*100</f>
        <v>30.357142857142854</v>
      </c>
      <c r="O344" s="25">
        <f>dataset!$K344*dataset!$G344</f>
        <v>62400</v>
      </c>
      <c r="P344"/>
      <c r="T344">
        <f>dataset!$K344*dataset!$G344</f>
        <v>62400</v>
      </c>
    </row>
    <row r="345" spans="1:20" x14ac:dyDescent="0.35">
      <c r="A345" s="2">
        <v>45798</v>
      </c>
      <c r="B345">
        <f t="shared" si="11"/>
        <v>21</v>
      </c>
      <c r="C345" t="s">
        <v>20</v>
      </c>
      <c r="D345" t="s">
        <v>21</v>
      </c>
      <c r="E345" t="s">
        <v>39</v>
      </c>
      <c r="F345" t="s">
        <v>18</v>
      </c>
      <c r="G345">
        <v>15</v>
      </c>
      <c r="H345">
        <v>2895</v>
      </c>
      <c r="I345" t="s">
        <v>452</v>
      </c>
      <c r="J345" t="s">
        <v>15</v>
      </c>
      <c r="K345">
        <v>1500</v>
      </c>
      <c r="L345" s="7">
        <f t="shared" si="10"/>
        <v>43425</v>
      </c>
      <c r="M345" s="7">
        <f>dataset!$L345-T345</f>
        <v>20925</v>
      </c>
      <c r="N345" s="7">
        <f>dataset!$M345/dataset!$L345*100</f>
        <v>48.186528497409327</v>
      </c>
      <c r="O345" s="25">
        <f>dataset!$K345*dataset!$G345</f>
        <v>22500</v>
      </c>
      <c r="P345"/>
      <c r="T345">
        <f>dataset!$K345*dataset!$G345</f>
        <v>22500</v>
      </c>
    </row>
    <row r="346" spans="1:20" x14ac:dyDescent="0.35">
      <c r="A346" s="2">
        <v>45822</v>
      </c>
      <c r="B346">
        <f t="shared" si="11"/>
        <v>14</v>
      </c>
      <c r="C346" t="s">
        <v>10</v>
      </c>
      <c r="D346" t="s">
        <v>16</v>
      </c>
      <c r="E346" t="s">
        <v>22</v>
      </c>
      <c r="F346" t="s">
        <v>47</v>
      </c>
      <c r="G346">
        <v>22</v>
      </c>
      <c r="H346">
        <v>2091</v>
      </c>
      <c r="I346" t="s">
        <v>453</v>
      </c>
      <c r="J346" t="s">
        <v>25</v>
      </c>
      <c r="K346">
        <v>1600</v>
      </c>
      <c r="L346" s="7">
        <f t="shared" si="10"/>
        <v>46002</v>
      </c>
      <c r="M346" s="7">
        <f>dataset!$L346-T346</f>
        <v>10802</v>
      </c>
      <c r="N346" s="7">
        <f>dataset!$M346/dataset!$L346*100</f>
        <v>23.48158775705404</v>
      </c>
      <c r="O346" s="25">
        <f>dataset!$K346*dataset!$G346</f>
        <v>35200</v>
      </c>
      <c r="P346"/>
      <c r="T346">
        <f>dataset!$K346*dataset!$G346</f>
        <v>35200</v>
      </c>
    </row>
    <row r="347" spans="1:20" x14ac:dyDescent="0.35">
      <c r="A347" s="2">
        <v>45830</v>
      </c>
      <c r="B347">
        <f t="shared" si="11"/>
        <v>22</v>
      </c>
      <c r="C347" t="s">
        <v>29</v>
      </c>
      <c r="D347" t="s">
        <v>36</v>
      </c>
      <c r="E347" t="s">
        <v>12</v>
      </c>
      <c r="F347" t="s">
        <v>47</v>
      </c>
      <c r="G347">
        <v>19</v>
      </c>
      <c r="H347">
        <v>2189</v>
      </c>
      <c r="I347" t="s">
        <v>85</v>
      </c>
      <c r="J347" t="s">
        <v>15</v>
      </c>
      <c r="K347">
        <v>1700</v>
      </c>
      <c r="L347" s="7">
        <f t="shared" si="10"/>
        <v>41591</v>
      </c>
      <c r="M347" s="7">
        <f>dataset!$L347-T347</f>
        <v>9291</v>
      </c>
      <c r="N347" s="7">
        <f>dataset!$M347/dataset!$L347*100</f>
        <v>22.338967565098219</v>
      </c>
      <c r="O347" s="25">
        <f>dataset!$K347*dataset!$G347</f>
        <v>32300</v>
      </c>
      <c r="P347"/>
      <c r="T347">
        <f>dataset!$K347*dataset!$G347</f>
        <v>32300</v>
      </c>
    </row>
    <row r="348" spans="1:20" x14ac:dyDescent="0.35">
      <c r="A348" s="2">
        <v>45772</v>
      </c>
      <c r="B348">
        <f t="shared" si="11"/>
        <v>25</v>
      </c>
      <c r="C348" t="s">
        <v>26</v>
      </c>
      <c r="D348" t="s">
        <v>46</v>
      </c>
      <c r="E348" t="s">
        <v>22</v>
      </c>
      <c r="F348" t="s">
        <v>56</v>
      </c>
      <c r="G348">
        <v>38</v>
      </c>
      <c r="H348">
        <v>309</v>
      </c>
      <c r="I348" t="s">
        <v>454</v>
      </c>
      <c r="J348" t="s">
        <v>25</v>
      </c>
      <c r="K348">
        <v>250</v>
      </c>
      <c r="L348" s="7">
        <f t="shared" si="10"/>
        <v>11742</v>
      </c>
      <c r="M348" s="7">
        <f>dataset!$L348-T348</f>
        <v>2242</v>
      </c>
      <c r="N348" s="7">
        <f>dataset!$M348/dataset!$L348*100</f>
        <v>19.093851132686083</v>
      </c>
      <c r="O348" s="25">
        <f>dataset!$K348*dataset!$G348</f>
        <v>9500</v>
      </c>
      <c r="P348"/>
      <c r="T348">
        <f>dataset!$K348*dataset!$G348</f>
        <v>9500</v>
      </c>
    </row>
    <row r="349" spans="1:20" x14ac:dyDescent="0.35">
      <c r="A349" s="2">
        <v>45767</v>
      </c>
      <c r="B349">
        <f t="shared" si="11"/>
        <v>20</v>
      </c>
      <c r="C349" t="s">
        <v>26</v>
      </c>
      <c r="D349" t="s">
        <v>11</v>
      </c>
      <c r="E349" t="s">
        <v>12</v>
      </c>
      <c r="F349" t="s">
        <v>40</v>
      </c>
      <c r="G349">
        <v>24</v>
      </c>
      <c r="H349">
        <v>1297</v>
      </c>
      <c r="I349" t="s">
        <v>455</v>
      </c>
      <c r="J349" t="s">
        <v>25</v>
      </c>
      <c r="K349">
        <v>950</v>
      </c>
      <c r="L349" s="7">
        <f t="shared" si="10"/>
        <v>31128</v>
      </c>
      <c r="M349" s="7">
        <f>dataset!$L349-T349</f>
        <v>8328</v>
      </c>
      <c r="N349" s="7">
        <f>dataset!$M349/dataset!$L349*100</f>
        <v>26.754047802621432</v>
      </c>
      <c r="O349" s="25">
        <f>dataset!$K349*dataset!$G349</f>
        <v>22800</v>
      </c>
      <c r="P349"/>
      <c r="T349">
        <f>dataset!$K349*dataset!$G349</f>
        <v>22800</v>
      </c>
    </row>
    <row r="350" spans="1:20" x14ac:dyDescent="0.35">
      <c r="A350" s="2">
        <v>45765</v>
      </c>
      <c r="B350">
        <f t="shared" si="11"/>
        <v>18</v>
      </c>
      <c r="C350" t="s">
        <v>10</v>
      </c>
      <c r="D350" t="s">
        <v>33</v>
      </c>
      <c r="E350" t="s">
        <v>42</v>
      </c>
      <c r="F350" t="s">
        <v>13</v>
      </c>
      <c r="G350">
        <v>49</v>
      </c>
      <c r="H350">
        <v>2492</v>
      </c>
      <c r="I350" t="s">
        <v>456</v>
      </c>
      <c r="J350" t="s">
        <v>25</v>
      </c>
      <c r="K350">
        <v>2150</v>
      </c>
      <c r="L350" s="7">
        <f t="shared" si="10"/>
        <v>122108</v>
      </c>
      <c r="M350" s="7">
        <f>dataset!$L350-T350</f>
        <v>16758</v>
      </c>
      <c r="N350" s="7">
        <f>dataset!$M350/dataset!$L350*100</f>
        <v>13.723916532905298</v>
      </c>
      <c r="O350" s="25">
        <f>dataset!$K350*dataset!$G350</f>
        <v>105350</v>
      </c>
      <c r="P350"/>
      <c r="T350">
        <f>dataset!$K350*dataset!$G350</f>
        <v>105350</v>
      </c>
    </row>
    <row r="351" spans="1:20" x14ac:dyDescent="0.35">
      <c r="A351" s="2">
        <v>45838</v>
      </c>
      <c r="B351">
        <f t="shared" si="11"/>
        <v>30</v>
      </c>
      <c r="C351" t="s">
        <v>10</v>
      </c>
      <c r="D351" t="s">
        <v>46</v>
      </c>
      <c r="E351" t="s">
        <v>22</v>
      </c>
      <c r="F351" t="s">
        <v>37</v>
      </c>
      <c r="G351">
        <v>35</v>
      </c>
      <c r="H351">
        <v>2450</v>
      </c>
      <c r="I351" t="s">
        <v>457</v>
      </c>
      <c r="J351" t="s">
        <v>15</v>
      </c>
      <c r="K351">
        <v>1600</v>
      </c>
      <c r="L351" s="7">
        <f t="shared" si="10"/>
        <v>85750</v>
      </c>
      <c r="M351" s="7">
        <f>dataset!$L351-T351</f>
        <v>29750</v>
      </c>
      <c r="N351" s="7">
        <f>dataset!$M351/dataset!$L351*100</f>
        <v>34.693877551020407</v>
      </c>
      <c r="O351" s="25">
        <f>dataset!$K351*dataset!$G351</f>
        <v>56000</v>
      </c>
      <c r="P351"/>
      <c r="T351">
        <f>dataset!$K351*dataset!$G351</f>
        <v>56000</v>
      </c>
    </row>
    <row r="352" spans="1:20" x14ac:dyDescent="0.35">
      <c r="A352" s="2">
        <v>45788</v>
      </c>
      <c r="B352">
        <f t="shared" si="11"/>
        <v>11</v>
      </c>
      <c r="C352" t="s">
        <v>35</v>
      </c>
      <c r="D352" t="s">
        <v>16</v>
      </c>
      <c r="E352" t="s">
        <v>67</v>
      </c>
      <c r="F352" t="s">
        <v>23</v>
      </c>
      <c r="G352">
        <v>12</v>
      </c>
      <c r="H352">
        <v>832</v>
      </c>
      <c r="I352" t="s">
        <v>458</v>
      </c>
      <c r="J352" t="s">
        <v>15</v>
      </c>
      <c r="K352">
        <v>500</v>
      </c>
      <c r="L352" s="7">
        <f t="shared" si="10"/>
        <v>9984</v>
      </c>
      <c r="M352" s="7">
        <f>dataset!$L352-T352</f>
        <v>3984</v>
      </c>
      <c r="N352" s="7">
        <f>dataset!$M352/dataset!$L352*100</f>
        <v>39.903846153846153</v>
      </c>
      <c r="O352" s="25">
        <f>dataset!$K352*dataset!$G352</f>
        <v>6000</v>
      </c>
      <c r="P352"/>
      <c r="T352">
        <f>dataset!$K352*dataset!$G352</f>
        <v>6000</v>
      </c>
    </row>
    <row r="353" spans="1:20" x14ac:dyDescent="0.35">
      <c r="A353" s="2">
        <v>45817</v>
      </c>
      <c r="B353">
        <f t="shared" si="11"/>
        <v>9</v>
      </c>
      <c r="C353" t="s">
        <v>29</v>
      </c>
      <c r="D353" t="s">
        <v>33</v>
      </c>
      <c r="E353" t="s">
        <v>17</v>
      </c>
      <c r="F353" t="s">
        <v>31</v>
      </c>
      <c r="G353">
        <v>24</v>
      </c>
      <c r="H353">
        <v>2516</v>
      </c>
      <c r="I353" t="s">
        <v>459</v>
      </c>
      <c r="J353" t="s">
        <v>25</v>
      </c>
      <c r="K353">
        <v>1950</v>
      </c>
      <c r="L353" s="7">
        <f t="shared" si="10"/>
        <v>60384</v>
      </c>
      <c r="M353" s="7">
        <f>dataset!$L353-T353</f>
        <v>13584</v>
      </c>
      <c r="N353" s="7">
        <f>dataset!$M353/dataset!$L353*100</f>
        <v>22.496025437201908</v>
      </c>
      <c r="O353" s="25">
        <f>dataset!$K353*dataset!$G353</f>
        <v>46800</v>
      </c>
      <c r="P353"/>
      <c r="T353">
        <f>dataset!$K353*dataset!$G353</f>
        <v>46800</v>
      </c>
    </row>
    <row r="354" spans="1:20" x14ac:dyDescent="0.35">
      <c r="A354" s="2">
        <v>45795</v>
      </c>
      <c r="B354">
        <f t="shared" si="11"/>
        <v>18</v>
      </c>
      <c r="C354" t="s">
        <v>10</v>
      </c>
      <c r="D354" t="s">
        <v>66</v>
      </c>
      <c r="E354" t="s">
        <v>30</v>
      </c>
      <c r="F354" t="s">
        <v>40</v>
      </c>
      <c r="G354">
        <v>43</v>
      </c>
      <c r="H354">
        <v>2655</v>
      </c>
      <c r="I354" t="s">
        <v>460</v>
      </c>
      <c r="J354" t="s">
        <v>25</v>
      </c>
      <c r="K354">
        <v>1750</v>
      </c>
      <c r="L354" s="7">
        <f t="shared" si="10"/>
        <v>114165</v>
      </c>
      <c r="M354" s="7">
        <f>dataset!$L354-T354</f>
        <v>38915</v>
      </c>
      <c r="N354" s="7">
        <f>dataset!$M354/dataset!$L354*100</f>
        <v>34.086629001883239</v>
      </c>
      <c r="O354" s="25">
        <f>dataset!$K354*dataset!$G354</f>
        <v>75250</v>
      </c>
      <c r="P354"/>
      <c r="T354">
        <f>dataset!$K354*dataset!$G354</f>
        <v>75250</v>
      </c>
    </row>
    <row r="355" spans="1:20" x14ac:dyDescent="0.35">
      <c r="A355" s="2">
        <v>45784</v>
      </c>
      <c r="B355">
        <f t="shared" si="11"/>
        <v>7</v>
      </c>
      <c r="C355" t="s">
        <v>26</v>
      </c>
      <c r="D355" t="s">
        <v>36</v>
      </c>
      <c r="E355" t="s">
        <v>39</v>
      </c>
      <c r="F355" t="s">
        <v>47</v>
      </c>
      <c r="G355">
        <v>12</v>
      </c>
      <c r="H355">
        <v>1300</v>
      </c>
      <c r="I355" t="s">
        <v>461</v>
      </c>
      <c r="J355" t="s">
        <v>25</v>
      </c>
      <c r="K355">
        <v>750</v>
      </c>
      <c r="L355" s="7">
        <f t="shared" si="10"/>
        <v>15600</v>
      </c>
      <c r="M355" s="7">
        <f>dataset!$L355-T355</f>
        <v>6600</v>
      </c>
      <c r="N355" s="7">
        <f>dataset!$M355/dataset!$L355*100</f>
        <v>42.307692307692307</v>
      </c>
      <c r="O355" s="25">
        <f>dataset!$K355*dataset!$G355</f>
        <v>9000</v>
      </c>
      <c r="P355"/>
      <c r="T355">
        <f>dataset!$K355*dataset!$G355</f>
        <v>9000</v>
      </c>
    </row>
    <row r="356" spans="1:20" x14ac:dyDescent="0.35">
      <c r="A356" s="2">
        <v>45778</v>
      </c>
      <c r="B356">
        <f t="shared" si="11"/>
        <v>1</v>
      </c>
      <c r="C356" t="s">
        <v>35</v>
      </c>
      <c r="D356" t="s">
        <v>16</v>
      </c>
      <c r="E356" t="s">
        <v>42</v>
      </c>
      <c r="F356" t="s">
        <v>31</v>
      </c>
      <c r="G356">
        <v>17</v>
      </c>
      <c r="H356">
        <v>921</v>
      </c>
      <c r="I356" t="s">
        <v>462</v>
      </c>
      <c r="J356" t="s">
        <v>25</v>
      </c>
      <c r="K356">
        <v>650</v>
      </c>
      <c r="L356" s="7">
        <f t="shared" si="10"/>
        <v>15657</v>
      </c>
      <c r="M356" s="7">
        <f>dataset!$L356-T356</f>
        <v>4607</v>
      </c>
      <c r="N356" s="7">
        <f>dataset!$M356/dataset!$L356*100</f>
        <v>29.424538545059718</v>
      </c>
      <c r="O356" s="25">
        <f>dataset!$K356*dataset!$G356</f>
        <v>11050</v>
      </c>
      <c r="P356"/>
      <c r="T356">
        <f>dataset!$K356*dataset!$G356</f>
        <v>11050</v>
      </c>
    </row>
    <row r="357" spans="1:20" x14ac:dyDescent="0.35">
      <c r="A357" s="2">
        <v>45820</v>
      </c>
      <c r="B357">
        <f t="shared" si="11"/>
        <v>12</v>
      </c>
      <c r="C357" t="s">
        <v>29</v>
      </c>
      <c r="D357" t="s">
        <v>66</v>
      </c>
      <c r="E357" t="s">
        <v>39</v>
      </c>
      <c r="F357" t="s">
        <v>18</v>
      </c>
      <c r="G357">
        <v>27</v>
      </c>
      <c r="H357">
        <v>2433</v>
      </c>
      <c r="I357" t="s">
        <v>463</v>
      </c>
      <c r="J357" t="s">
        <v>25</v>
      </c>
      <c r="K357">
        <v>1800</v>
      </c>
      <c r="L357" s="7">
        <f t="shared" si="10"/>
        <v>65691</v>
      </c>
      <c r="M357" s="7">
        <f>dataset!$L357-T357</f>
        <v>17091</v>
      </c>
      <c r="N357" s="7">
        <f>dataset!$M357/dataset!$L357*100</f>
        <v>26.017262638717632</v>
      </c>
      <c r="O357" s="25">
        <f>dataset!$K357*dataset!$G357</f>
        <v>48600</v>
      </c>
      <c r="P357"/>
      <c r="T357">
        <f>dataset!$K357*dataset!$G357</f>
        <v>48600</v>
      </c>
    </row>
    <row r="358" spans="1:20" x14ac:dyDescent="0.35">
      <c r="A358" s="2">
        <v>45801</v>
      </c>
      <c r="B358">
        <f t="shared" si="11"/>
        <v>24</v>
      </c>
      <c r="C358" t="s">
        <v>35</v>
      </c>
      <c r="D358" t="s">
        <v>33</v>
      </c>
      <c r="E358" t="s">
        <v>17</v>
      </c>
      <c r="F358" t="s">
        <v>18</v>
      </c>
      <c r="G358">
        <v>5</v>
      </c>
      <c r="H358">
        <v>1365</v>
      </c>
      <c r="I358" t="s">
        <v>86</v>
      </c>
      <c r="J358" t="s">
        <v>15</v>
      </c>
      <c r="K358">
        <v>850</v>
      </c>
      <c r="L358" s="7">
        <f t="shared" si="10"/>
        <v>6825</v>
      </c>
      <c r="M358" s="7">
        <f>dataset!$L358-T358</f>
        <v>2575</v>
      </c>
      <c r="N358" s="7">
        <f>dataset!$M358/dataset!$L358*100</f>
        <v>37.72893772893773</v>
      </c>
      <c r="O358" s="25">
        <f>dataset!$K358*dataset!$G358</f>
        <v>4250</v>
      </c>
      <c r="P358"/>
      <c r="T358">
        <f>dataset!$K358*dataset!$G358</f>
        <v>4250</v>
      </c>
    </row>
    <row r="359" spans="1:20" x14ac:dyDescent="0.35">
      <c r="A359" s="2">
        <v>45804</v>
      </c>
      <c r="B359">
        <f t="shared" si="11"/>
        <v>27</v>
      </c>
      <c r="C359" t="s">
        <v>20</v>
      </c>
      <c r="D359" t="s">
        <v>66</v>
      </c>
      <c r="E359" t="s">
        <v>75</v>
      </c>
      <c r="F359" t="s">
        <v>59</v>
      </c>
      <c r="G359">
        <v>38</v>
      </c>
      <c r="H359">
        <v>516</v>
      </c>
      <c r="I359" t="s">
        <v>464</v>
      </c>
      <c r="J359" t="s">
        <v>25</v>
      </c>
      <c r="K359">
        <v>450</v>
      </c>
      <c r="L359" s="7">
        <f t="shared" si="10"/>
        <v>19608</v>
      </c>
      <c r="M359" s="7">
        <f>dataset!$L359-T359</f>
        <v>2508</v>
      </c>
      <c r="N359" s="7">
        <f>dataset!$M359/dataset!$L359*100</f>
        <v>12.790697674418606</v>
      </c>
      <c r="O359" s="25">
        <f>dataset!$K359*dataset!$G359</f>
        <v>17100</v>
      </c>
      <c r="P359"/>
      <c r="T359">
        <f>dataset!$K359*dataset!$G359</f>
        <v>17100</v>
      </c>
    </row>
    <row r="360" spans="1:20" x14ac:dyDescent="0.35">
      <c r="A360" s="2">
        <v>45777</v>
      </c>
      <c r="B360">
        <f t="shared" si="11"/>
        <v>30</v>
      </c>
      <c r="C360" t="s">
        <v>35</v>
      </c>
      <c r="D360" t="s">
        <v>11</v>
      </c>
      <c r="E360" t="s">
        <v>54</v>
      </c>
      <c r="F360" t="s">
        <v>13</v>
      </c>
      <c r="G360">
        <v>7</v>
      </c>
      <c r="H360">
        <v>2651</v>
      </c>
      <c r="I360" t="s">
        <v>465</v>
      </c>
      <c r="J360" t="s">
        <v>15</v>
      </c>
      <c r="K360">
        <v>2050</v>
      </c>
      <c r="L360" s="7">
        <f t="shared" si="10"/>
        <v>18557</v>
      </c>
      <c r="M360" s="7">
        <f>dataset!$L360-T360</f>
        <v>4207</v>
      </c>
      <c r="N360" s="7">
        <f>dataset!$M360/dataset!$L360*100</f>
        <v>22.670690305545076</v>
      </c>
      <c r="O360" s="25">
        <f>dataset!$K360*dataset!$G360</f>
        <v>14350</v>
      </c>
      <c r="P360"/>
      <c r="T360">
        <f>dataset!$K360*dataset!$G360</f>
        <v>14350</v>
      </c>
    </row>
    <row r="361" spans="1:20" x14ac:dyDescent="0.35">
      <c r="A361" s="2">
        <v>45830</v>
      </c>
      <c r="B361">
        <f t="shared" si="11"/>
        <v>22</v>
      </c>
      <c r="C361" t="s">
        <v>26</v>
      </c>
      <c r="D361" t="s">
        <v>66</v>
      </c>
      <c r="E361" t="s">
        <v>42</v>
      </c>
      <c r="F361" t="s">
        <v>40</v>
      </c>
      <c r="G361">
        <v>50</v>
      </c>
      <c r="H361">
        <v>659</v>
      </c>
      <c r="I361" t="s">
        <v>466</v>
      </c>
      <c r="J361" t="s">
        <v>15</v>
      </c>
      <c r="K361">
        <v>400</v>
      </c>
      <c r="L361" s="7">
        <f t="shared" si="10"/>
        <v>32950</v>
      </c>
      <c r="M361" s="7">
        <f>dataset!$L361-T361</f>
        <v>12950</v>
      </c>
      <c r="N361" s="7">
        <f>dataset!$M361/dataset!$L361*100</f>
        <v>39.301972685887712</v>
      </c>
      <c r="O361" s="25">
        <f>dataset!$K361*dataset!$G361</f>
        <v>20000</v>
      </c>
      <c r="P361"/>
      <c r="T361">
        <f>dataset!$K361*dataset!$G361</f>
        <v>20000</v>
      </c>
    </row>
    <row r="362" spans="1:20" x14ac:dyDescent="0.35">
      <c r="A362" s="2">
        <v>45786</v>
      </c>
      <c r="B362">
        <f t="shared" si="11"/>
        <v>9</v>
      </c>
      <c r="C362" t="s">
        <v>26</v>
      </c>
      <c r="D362" t="s">
        <v>66</v>
      </c>
      <c r="E362" t="s">
        <v>64</v>
      </c>
      <c r="F362" t="s">
        <v>47</v>
      </c>
      <c r="G362">
        <v>8</v>
      </c>
      <c r="H362">
        <v>2328</v>
      </c>
      <c r="I362" t="s">
        <v>467</v>
      </c>
      <c r="J362" t="s">
        <v>25</v>
      </c>
      <c r="K362">
        <v>1650</v>
      </c>
      <c r="L362" s="7">
        <f t="shared" si="10"/>
        <v>18624</v>
      </c>
      <c r="M362" s="7">
        <f>dataset!$L362-T362</f>
        <v>5424</v>
      </c>
      <c r="N362" s="7">
        <f>dataset!$M362/dataset!$L362*100</f>
        <v>29.123711340206189</v>
      </c>
      <c r="O362" s="25">
        <f>dataset!$K362*dataset!$G362</f>
        <v>13200</v>
      </c>
      <c r="P362"/>
      <c r="T362">
        <f>dataset!$K362*dataset!$G362</f>
        <v>13200</v>
      </c>
    </row>
    <row r="363" spans="1:20" x14ac:dyDescent="0.35">
      <c r="A363" s="2">
        <v>45763</v>
      </c>
      <c r="B363">
        <f t="shared" si="11"/>
        <v>16</v>
      </c>
      <c r="C363" t="s">
        <v>20</v>
      </c>
      <c r="D363" t="s">
        <v>11</v>
      </c>
      <c r="E363" t="s">
        <v>30</v>
      </c>
      <c r="F363" t="s">
        <v>37</v>
      </c>
      <c r="G363">
        <v>41</v>
      </c>
      <c r="H363">
        <v>1898</v>
      </c>
      <c r="I363" t="s">
        <v>468</v>
      </c>
      <c r="J363" t="s">
        <v>25</v>
      </c>
      <c r="K363">
        <v>1450</v>
      </c>
      <c r="L363" s="7">
        <f t="shared" si="10"/>
        <v>77818</v>
      </c>
      <c r="M363" s="7">
        <f>dataset!$L363-T363</f>
        <v>18368</v>
      </c>
      <c r="N363" s="7">
        <f>dataset!$M363/dataset!$L363*100</f>
        <v>23.603793466807165</v>
      </c>
      <c r="O363" s="25">
        <f>dataset!$K363*dataset!$G363</f>
        <v>59450</v>
      </c>
      <c r="P363"/>
      <c r="T363">
        <f>dataset!$K363*dataset!$G363</f>
        <v>59450</v>
      </c>
    </row>
    <row r="364" spans="1:20" x14ac:dyDescent="0.35">
      <c r="A364" s="2">
        <v>45773</v>
      </c>
      <c r="B364">
        <f t="shared" si="11"/>
        <v>26</v>
      </c>
      <c r="C364" t="s">
        <v>20</v>
      </c>
      <c r="D364" t="s">
        <v>33</v>
      </c>
      <c r="E364" t="s">
        <v>42</v>
      </c>
      <c r="F364" t="s">
        <v>37</v>
      </c>
      <c r="G364">
        <v>19</v>
      </c>
      <c r="H364">
        <v>1426</v>
      </c>
      <c r="I364" t="s">
        <v>469</v>
      </c>
      <c r="J364" t="s">
        <v>25</v>
      </c>
      <c r="K364">
        <v>800</v>
      </c>
      <c r="L364" s="7">
        <f t="shared" si="10"/>
        <v>27094</v>
      </c>
      <c r="M364" s="7">
        <f>dataset!$L364-T364</f>
        <v>11894</v>
      </c>
      <c r="N364" s="7">
        <f>dataset!$M364/dataset!$L364*100</f>
        <v>43.899018232819074</v>
      </c>
      <c r="O364" s="25">
        <f>dataset!$K364*dataset!$G364</f>
        <v>15200</v>
      </c>
      <c r="P364"/>
      <c r="T364">
        <f>dataset!$K364*dataset!$G364</f>
        <v>15200</v>
      </c>
    </row>
    <row r="365" spans="1:20" x14ac:dyDescent="0.35">
      <c r="A365" s="2">
        <v>45819</v>
      </c>
      <c r="B365">
        <f t="shared" si="11"/>
        <v>11</v>
      </c>
      <c r="C365" t="s">
        <v>35</v>
      </c>
      <c r="D365" t="s">
        <v>11</v>
      </c>
      <c r="E365" t="s">
        <v>22</v>
      </c>
      <c r="F365" t="s">
        <v>13</v>
      </c>
      <c r="G365">
        <v>30</v>
      </c>
      <c r="H365">
        <v>675</v>
      </c>
      <c r="I365" t="s">
        <v>470</v>
      </c>
      <c r="J365" t="s">
        <v>25</v>
      </c>
      <c r="K365">
        <v>500</v>
      </c>
      <c r="L365" s="7">
        <f t="shared" si="10"/>
        <v>20250</v>
      </c>
      <c r="M365" s="7">
        <f>dataset!$L365-T365</f>
        <v>5250</v>
      </c>
      <c r="N365" s="7">
        <f>dataset!$M365/dataset!$L365*100</f>
        <v>25.925925925925924</v>
      </c>
      <c r="O365" s="25">
        <f>dataset!$K365*dataset!$G365</f>
        <v>15000</v>
      </c>
      <c r="P365"/>
      <c r="T365">
        <f>dataset!$K365*dataset!$G365</f>
        <v>15000</v>
      </c>
    </row>
    <row r="366" spans="1:20" x14ac:dyDescent="0.35">
      <c r="A366" s="2">
        <v>45762</v>
      </c>
      <c r="B366">
        <f t="shared" si="11"/>
        <v>15</v>
      </c>
      <c r="C366" t="s">
        <v>26</v>
      </c>
      <c r="D366" t="s">
        <v>33</v>
      </c>
      <c r="E366" t="s">
        <v>54</v>
      </c>
      <c r="F366" t="s">
        <v>37</v>
      </c>
      <c r="G366">
        <v>10</v>
      </c>
      <c r="H366">
        <v>1131</v>
      </c>
      <c r="I366" t="s">
        <v>471</v>
      </c>
      <c r="J366" t="s">
        <v>25</v>
      </c>
      <c r="K366">
        <v>650</v>
      </c>
      <c r="L366" s="7">
        <f t="shared" si="10"/>
        <v>11310</v>
      </c>
      <c r="M366" s="7">
        <f>dataset!$L366-T366</f>
        <v>4810</v>
      </c>
      <c r="N366" s="7">
        <f>dataset!$M366/dataset!$L366*100</f>
        <v>42.528735632183903</v>
      </c>
      <c r="O366" s="25">
        <f>dataset!$K366*dataset!$G366</f>
        <v>6500</v>
      </c>
      <c r="P366"/>
      <c r="T366">
        <f>dataset!$K366*dataset!$G366</f>
        <v>6500</v>
      </c>
    </row>
    <row r="367" spans="1:20" x14ac:dyDescent="0.35">
      <c r="A367" s="2">
        <v>45772</v>
      </c>
      <c r="B367">
        <f t="shared" si="11"/>
        <v>25</v>
      </c>
      <c r="C367" t="s">
        <v>26</v>
      </c>
      <c r="D367" t="s">
        <v>33</v>
      </c>
      <c r="E367" t="s">
        <v>54</v>
      </c>
      <c r="F367" t="s">
        <v>23</v>
      </c>
      <c r="G367">
        <v>13</v>
      </c>
      <c r="H367">
        <v>1390</v>
      </c>
      <c r="I367" t="s">
        <v>472</v>
      </c>
      <c r="J367" t="s">
        <v>25</v>
      </c>
      <c r="K367">
        <v>1150</v>
      </c>
      <c r="L367" s="7">
        <f t="shared" si="10"/>
        <v>18070</v>
      </c>
      <c r="M367" s="7">
        <f>dataset!$L367-T367</f>
        <v>3120</v>
      </c>
      <c r="N367" s="7">
        <f>dataset!$M367/dataset!$L367*100</f>
        <v>17.266187050359711</v>
      </c>
      <c r="O367" s="25">
        <f>dataset!$K367*dataset!$G367</f>
        <v>14950</v>
      </c>
      <c r="P367"/>
      <c r="T367">
        <f>dataset!$K367*dataset!$G367</f>
        <v>14950</v>
      </c>
    </row>
    <row r="368" spans="1:20" x14ac:dyDescent="0.35">
      <c r="A368" s="2">
        <v>45764</v>
      </c>
      <c r="B368">
        <f t="shared" si="11"/>
        <v>17</v>
      </c>
      <c r="C368" t="s">
        <v>35</v>
      </c>
      <c r="D368" t="s">
        <v>36</v>
      </c>
      <c r="E368" t="s">
        <v>17</v>
      </c>
      <c r="F368" t="s">
        <v>31</v>
      </c>
      <c r="G368">
        <v>16</v>
      </c>
      <c r="H368">
        <v>1739</v>
      </c>
      <c r="I368" t="s">
        <v>473</v>
      </c>
      <c r="J368" t="s">
        <v>15</v>
      </c>
      <c r="K368">
        <v>1050</v>
      </c>
      <c r="L368" s="7">
        <f t="shared" si="10"/>
        <v>27824</v>
      </c>
      <c r="M368" s="7">
        <f>dataset!$L368-T368</f>
        <v>11024</v>
      </c>
      <c r="N368" s="7">
        <f>dataset!$M368/dataset!$L368*100</f>
        <v>39.620471535365155</v>
      </c>
      <c r="O368" s="25">
        <f>dataset!$K368*dataset!$G368</f>
        <v>16800</v>
      </c>
      <c r="P368"/>
      <c r="T368">
        <f>dataset!$K368*dataset!$G368</f>
        <v>16800</v>
      </c>
    </row>
    <row r="369" spans="1:20" x14ac:dyDescent="0.35">
      <c r="A369" s="2">
        <v>45803</v>
      </c>
      <c r="B369">
        <f t="shared" si="11"/>
        <v>26</v>
      </c>
      <c r="C369" t="s">
        <v>35</v>
      </c>
      <c r="D369" t="s">
        <v>66</v>
      </c>
      <c r="E369" t="s">
        <v>39</v>
      </c>
      <c r="F369" t="s">
        <v>56</v>
      </c>
      <c r="G369">
        <v>15</v>
      </c>
      <c r="H369">
        <v>2197</v>
      </c>
      <c r="I369" t="s">
        <v>87</v>
      </c>
      <c r="J369" t="s">
        <v>15</v>
      </c>
      <c r="K369">
        <v>1200</v>
      </c>
      <c r="L369" s="7">
        <f t="shared" si="10"/>
        <v>32955</v>
      </c>
      <c r="M369" s="7">
        <f>dataset!$L369-T369</f>
        <v>14955</v>
      </c>
      <c r="N369" s="7">
        <f>dataset!$M369/dataset!$L369*100</f>
        <v>45.380063723258992</v>
      </c>
      <c r="O369" s="25">
        <f>dataset!$K369*dataset!$G369</f>
        <v>18000</v>
      </c>
      <c r="P369"/>
      <c r="T369">
        <f>dataset!$K369*dataset!$G369</f>
        <v>18000</v>
      </c>
    </row>
    <row r="370" spans="1:20" x14ac:dyDescent="0.35">
      <c r="A370" s="2">
        <v>45797</v>
      </c>
      <c r="B370">
        <f t="shared" si="11"/>
        <v>20</v>
      </c>
      <c r="C370" t="s">
        <v>20</v>
      </c>
      <c r="D370" t="s">
        <v>66</v>
      </c>
      <c r="E370" t="s">
        <v>22</v>
      </c>
      <c r="F370" t="s">
        <v>59</v>
      </c>
      <c r="G370">
        <v>43</v>
      </c>
      <c r="H370">
        <v>1609</v>
      </c>
      <c r="I370" t="s">
        <v>474</v>
      </c>
      <c r="J370" t="s">
        <v>25</v>
      </c>
      <c r="K370">
        <v>1100</v>
      </c>
      <c r="L370" s="7">
        <f t="shared" si="10"/>
        <v>69187</v>
      </c>
      <c r="M370" s="7">
        <f>dataset!$L370-T370</f>
        <v>21887</v>
      </c>
      <c r="N370" s="7">
        <f>dataset!$M370/dataset!$L370*100</f>
        <v>31.634555624611561</v>
      </c>
      <c r="O370" s="25">
        <f>dataset!$K370*dataset!$G370</f>
        <v>47300</v>
      </c>
      <c r="P370"/>
      <c r="T370">
        <f>dataset!$K370*dataset!$G370</f>
        <v>47300</v>
      </c>
    </row>
    <row r="371" spans="1:20" x14ac:dyDescent="0.35">
      <c r="A371" s="2">
        <v>45803</v>
      </c>
      <c r="B371">
        <f t="shared" si="11"/>
        <v>26</v>
      </c>
      <c r="C371" t="s">
        <v>20</v>
      </c>
      <c r="D371" t="s">
        <v>27</v>
      </c>
      <c r="E371" t="s">
        <v>54</v>
      </c>
      <c r="F371" t="s">
        <v>47</v>
      </c>
      <c r="G371">
        <v>28</v>
      </c>
      <c r="H371">
        <v>2006</v>
      </c>
      <c r="I371" t="s">
        <v>475</v>
      </c>
      <c r="J371" t="s">
        <v>15</v>
      </c>
      <c r="K371">
        <v>1450</v>
      </c>
      <c r="L371" s="7">
        <f t="shared" si="10"/>
        <v>56168</v>
      </c>
      <c r="M371" s="7">
        <f>dataset!$L371-T371</f>
        <v>15568</v>
      </c>
      <c r="N371" s="7">
        <f>dataset!$M371/dataset!$L371*100</f>
        <v>27.716849451645064</v>
      </c>
      <c r="O371" s="25">
        <f>dataset!$K371*dataset!$G371</f>
        <v>40600</v>
      </c>
      <c r="P371"/>
      <c r="T371">
        <f>dataset!$K371*dataset!$G371</f>
        <v>40600</v>
      </c>
    </row>
    <row r="372" spans="1:20" x14ac:dyDescent="0.35">
      <c r="A372" s="2">
        <v>45824</v>
      </c>
      <c r="B372">
        <f t="shared" si="11"/>
        <v>16</v>
      </c>
      <c r="C372" t="s">
        <v>10</v>
      </c>
      <c r="D372" t="s">
        <v>21</v>
      </c>
      <c r="E372" t="s">
        <v>42</v>
      </c>
      <c r="F372" t="s">
        <v>59</v>
      </c>
      <c r="G372">
        <v>20</v>
      </c>
      <c r="H372">
        <v>2837</v>
      </c>
      <c r="I372" t="s">
        <v>476</v>
      </c>
      <c r="J372" t="s">
        <v>15</v>
      </c>
      <c r="K372">
        <v>2400</v>
      </c>
      <c r="L372" s="7">
        <f t="shared" si="10"/>
        <v>56740</v>
      </c>
      <c r="M372" s="7">
        <f>dataset!$L372-T372</f>
        <v>8740</v>
      </c>
      <c r="N372" s="7">
        <f>dataset!$M372/dataset!$L372*100</f>
        <v>15.403595347197744</v>
      </c>
      <c r="O372" s="25">
        <f>dataset!$K372*dataset!$G372</f>
        <v>48000</v>
      </c>
      <c r="P372"/>
      <c r="T372">
        <f>dataset!$K372*dataset!$G372</f>
        <v>48000</v>
      </c>
    </row>
    <row r="373" spans="1:20" x14ac:dyDescent="0.35">
      <c r="A373" s="2">
        <v>45752</v>
      </c>
      <c r="B373">
        <f t="shared" si="11"/>
        <v>5</v>
      </c>
      <c r="C373" t="s">
        <v>26</v>
      </c>
      <c r="D373" t="s">
        <v>11</v>
      </c>
      <c r="E373" t="s">
        <v>42</v>
      </c>
      <c r="F373" t="s">
        <v>47</v>
      </c>
      <c r="G373">
        <v>37</v>
      </c>
      <c r="H373">
        <v>2094</v>
      </c>
      <c r="I373" t="s">
        <v>477</v>
      </c>
      <c r="J373" t="s">
        <v>25</v>
      </c>
      <c r="K373">
        <v>1150</v>
      </c>
      <c r="L373" s="7">
        <f t="shared" si="10"/>
        <v>77478</v>
      </c>
      <c r="M373" s="7">
        <f>dataset!$L373-T373</f>
        <v>34928</v>
      </c>
      <c r="N373" s="7">
        <f>dataset!$M373/dataset!$L373*100</f>
        <v>45.081184336198667</v>
      </c>
      <c r="O373" s="25">
        <f>dataset!$K373*dataset!$G373</f>
        <v>42550</v>
      </c>
      <c r="P373"/>
      <c r="T373">
        <f>dataset!$K373*dataset!$G373</f>
        <v>42550</v>
      </c>
    </row>
    <row r="374" spans="1:20" x14ac:dyDescent="0.35">
      <c r="A374" s="2">
        <v>45778</v>
      </c>
      <c r="B374">
        <f t="shared" si="11"/>
        <v>1</v>
      </c>
      <c r="C374" t="s">
        <v>20</v>
      </c>
      <c r="D374" t="s">
        <v>66</v>
      </c>
      <c r="E374" t="s">
        <v>64</v>
      </c>
      <c r="F374" t="s">
        <v>23</v>
      </c>
      <c r="G374">
        <v>30</v>
      </c>
      <c r="H374">
        <v>1579</v>
      </c>
      <c r="I374" t="s">
        <v>478</v>
      </c>
      <c r="J374" t="s">
        <v>25</v>
      </c>
      <c r="K374">
        <v>1200</v>
      </c>
      <c r="L374" s="7">
        <f t="shared" si="10"/>
        <v>47370</v>
      </c>
      <c r="M374" s="7">
        <f>dataset!$L374-T374</f>
        <v>11370</v>
      </c>
      <c r="N374" s="7">
        <f>dataset!$M374/dataset!$L374*100</f>
        <v>24.002533248891702</v>
      </c>
      <c r="O374" s="25">
        <f>dataset!$K374*dataset!$G374</f>
        <v>36000</v>
      </c>
      <c r="P374"/>
      <c r="T374">
        <f>dataset!$K374*dataset!$G374</f>
        <v>36000</v>
      </c>
    </row>
    <row r="375" spans="1:20" x14ac:dyDescent="0.35">
      <c r="A375" s="2">
        <v>45785</v>
      </c>
      <c r="B375">
        <f t="shared" si="11"/>
        <v>8</v>
      </c>
      <c r="C375" t="s">
        <v>35</v>
      </c>
      <c r="D375" t="s">
        <v>21</v>
      </c>
      <c r="E375" t="s">
        <v>54</v>
      </c>
      <c r="F375" t="s">
        <v>40</v>
      </c>
      <c r="G375">
        <v>13</v>
      </c>
      <c r="H375">
        <v>1521</v>
      </c>
      <c r="I375" t="s">
        <v>479</v>
      </c>
      <c r="J375" t="s">
        <v>15</v>
      </c>
      <c r="K375">
        <v>1000</v>
      </c>
      <c r="L375" s="7">
        <f t="shared" si="10"/>
        <v>19773</v>
      </c>
      <c r="M375" s="7">
        <f>dataset!$L375-T375</f>
        <v>6773</v>
      </c>
      <c r="N375" s="7">
        <f>dataset!$M375/dataset!$L375*100</f>
        <v>34.253780407626557</v>
      </c>
      <c r="O375" s="25">
        <f>dataset!$K375*dataset!$G375</f>
        <v>13000</v>
      </c>
      <c r="P375"/>
      <c r="T375">
        <f>dataset!$K375*dataset!$G375</f>
        <v>13000</v>
      </c>
    </row>
    <row r="376" spans="1:20" x14ac:dyDescent="0.35">
      <c r="A376" s="2">
        <v>45783</v>
      </c>
      <c r="B376">
        <f t="shared" si="11"/>
        <v>6</v>
      </c>
      <c r="C376" t="s">
        <v>26</v>
      </c>
      <c r="D376" t="s">
        <v>46</v>
      </c>
      <c r="E376" t="s">
        <v>75</v>
      </c>
      <c r="F376" t="s">
        <v>40</v>
      </c>
      <c r="G376">
        <v>29</v>
      </c>
      <c r="H376">
        <v>2884</v>
      </c>
      <c r="I376" t="s">
        <v>480</v>
      </c>
      <c r="J376" t="s">
        <v>25</v>
      </c>
      <c r="K376">
        <v>2500</v>
      </c>
      <c r="L376" s="7">
        <f t="shared" si="10"/>
        <v>83636</v>
      </c>
      <c r="M376" s="7">
        <f>dataset!$L376-T376</f>
        <v>11136</v>
      </c>
      <c r="N376" s="7">
        <f>dataset!$M376/dataset!$L376*100</f>
        <v>13.314840499306518</v>
      </c>
      <c r="O376" s="25">
        <f>dataset!$K376*dataset!$G376</f>
        <v>72500</v>
      </c>
      <c r="P376"/>
      <c r="T376">
        <f>dataset!$K376*dataset!$G376</f>
        <v>72500</v>
      </c>
    </row>
    <row r="377" spans="1:20" x14ac:dyDescent="0.35">
      <c r="A377" s="2">
        <v>45812</v>
      </c>
      <c r="B377">
        <f t="shared" si="11"/>
        <v>4</v>
      </c>
      <c r="C377" t="s">
        <v>26</v>
      </c>
      <c r="D377" t="s">
        <v>21</v>
      </c>
      <c r="E377" t="s">
        <v>12</v>
      </c>
      <c r="F377" t="s">
        <v>23</v>
      </c>
      <c r="G377">
        <v>34</v>
      </c>
      <c r="H377">
        <v>1518</v>
      </c>
      <c r="I377" t="s">
        <v>481</v>
      </c>
      <c r="J377" t="s">
        <v>25</v>
      </c>
      <c r="K377">
        <v>1100</v>
      </c>
      <c r="L377" s="7">
        <f t="shared" si="10"/>
        <v>51612</v>
      </c>
      <c r="M377" s="7">
        <f>dataset!$L377-T377</f>
        <v>14212</v>
      </c>
      <c r="N377" s="7">
        <f>dataset!$M377/dataset!$L377*100</f>
        <v>27.536231884057973</v>
      </c>
      <c r="O377" s="25">
        <f>dataset!$K377*dataset!$G377</f>
        <v>37400</v>
      </c>
      <c r="P377"/>
      <c r="T377">
        <f>dataset!$K377*dataset!$G377</f>
        <v>37400</v>
      </c>
    </row>
    <row r="378" spans="1:20" x14ac:dyDescent="0.35">
      <c r="A378" s="2">
        <v>45784</v>
      </c>
      <c r="B378">
        <f t="shared" si="11"/>
        <v>7</v>
      </c>
      <c r="C378" t="s">
        <v>35</v>
      </c>
      <c r="D378" t="s">
        <v>16</v>
      </c>
      <c r="E378" t="s">
        <v>75</v>
      </c>
      <c r="F378" t="s">
        <v>40</v>
      </c>
      <c r="G378">
        <v>19</v>
      </c>
      <c r="H378">
        <v>2210</v>
      </c>
      <c r="I378" t="s">
        <v>482</v>
      </c>
      <c r="J378" t="s">
        <v>15</v>
      </c>
      <c r="K378">
        <v>1550</v>
      </c>
      <c r="L378" s="7">
        <f t="shared" si="10"/>
        <v>41990</v>
      </c>
      <c r="M378" s="7">
        <f>dataset!$L378-T378</f>
        <v>12540</v>
      </c>
      <c r="N378" s="7">
        <f>dataset!$M378/dataset!$L378*100</f>
        <v>29.864253393665159</v>
      </c>
      <c r="O378" s="25">
        <f>dataset!$K378*dataset!$G378</f>
        <v>29450</v>
      </c>
      <c r="P378"/>
      <c r="T378">
        <f>dataset!$K378*dataset!$G378</f>
        <v>29450</v>
      </c>
    </row>
    <row r="379" spans="1:20" x14ac:dyDescent="0.35">
      <c r="A379" s="2">
        <v>45768</v>
      </c>
      <c r="B379">
        <f t="shared" si="11"/>
        <v>21</v>
      </c>
      <c r="C379" t="s">
        <v>26</v>
      </c>
      <c r="D379" t="s">
        <v>66</v>
      </c>
      <c r="E379" t="s">
        <v>22</v>
      </c>
      <c r="F379" t="s">
        <v>40</v>
      </c>
      <c r="G379">
        <v>38</v>
      </c>
      <c r="H379">
        <v>1111</v>
      </c>
      <c r="I379" t="s">
        <v>483</v>
      </c>
      <c r="J379" t="s">
        <v>15</v>
      </c>
      <c r="K379">
        <v>700</v>
      </c>
      <c r="L379" s="7">
        <f t="shared" si="10"/>
        <v>42218</v>
      </c>
      <c r="M379" s="7">
        <f>dataset!$L379-T379</f>
        <v>15618</v>
      </c>
      <c r="N379" s="7">
        <f>dataset!$M379/dataset!$L379*100</f>
        <v>36.993699369936991</v>
      </c>
      <c r="O379" s="25">
        <f>dataset!$K379*dataset!$G379</f>
        <v>26600</v>
      </c>
      <c r="P379"/>
      <c r="T379">
        <f>dataset!$K379*dataset!$G379</f>
        <v>26600</v>
      </c>
    </row>
    <row r="380" spans="1:20" x14ac:dyDescent="0.35">
      <c r="A380" s="2">
        <v>45781</v>
      </c>
      <c r="B380">
        <f t="shared" si="11"/>
        <v>4</v>
      </c>
      <c r="C380" t="s">
        <v>26</v>
      </c>
      <c r="D380" t="s">
        <v>33</v>
      </c>
      <c r="E380" t="s">
        <v>54</v>
      </c>
      <c r="F380" t="s">
        <v>31</v>
      </c>
      <c r="G380">
        <v>46</v>
      </c>
      <c r="H380">
        <v>2840</v>
      </c>
      <c r="I380" t="s">
        <v>88</v>
      </c>
      <c r="J380" t="s">
        <v>15</v>
      </c>
      <c r="K380">
        <v>2200</v>
      </c>
      <c r="L380" s="7">
        <f t="shared" si="10"/>
        <v>130640</v>
      </c>
      <c r="M380" s="7">
        <f>dataset!$L380-T380</f>
        <v>29440</v>
      </c>
      <c r="N380" s="7">
        <f>dataset!$M380/dataset!$L380*100</f>
        <v>22.535211267605636</v>
      </c>
      <c r="O380" s="25">
        <f>dataset!$K380*dataset!$G380</f>
        <v>101200</v>
      </c>
      <c r="P380"/>
      <c r="T380">
        <f>dataset!$K380*dataset!$G380</f>
        <v>101200</v>
      </c>
    </row>
    <row r="381" spans="1:20" x14ac:dyDescent="0.35">
      <c r="A381" s="2">
        <v>45821</v>
      </c>
      <c r="B381">
        <f t="shared" si="11"/>
        <v>13</v>
      </c>
      <c r="C381" t="s">
        <v>20</v>
      </c>
      <c r="D381" t="s">
        <v>21</v>
      </c>
      <c r="E381" t="s">
        <v>54</v>
      </c>
      <c r="F381" t="s">
        <v>37</v>
      </c>
      <c r="G381">
        <v>43</v>
      </c>
      <c r="H381">
        <v>2587</v>
      </c>
      <c r="I381" t="s">
        <v>484</v>
      </c>
      <c r="J381" t="s">
        <v>15</v>
      </c>
      <c r="K381">
        <v>1500</v>
      </c>
      <c r="L381" s="7">
        <f t="shared" si="10"/>
        <v>111241</v>
      </c>
      <c r="M381" s="7">
        <f>dataset!$L381-T381</f>
        <v>46741</v>
      </c>
      <c r="N381" s="7">
        <f>dataset!$M381/dataset!$L381*100</f>
        <v>42.017781213761111</v>
      </c>
      <c r="O381" s="25">
        <f>dataset!$K381*dataset!$G381</f>
        <v>64500</v>
      </c>
      <c r="P381"/>
      <c r="T381">
        <f>dataset!$K381*dataset!$G381</f>
        <v>64500</v>
      </c>
    </row>
    <row r="382" spans="1:20" x14ac:dyDescent="0.35">
      <c r="A382" s="2">
        <v>45766</v>
      </c>
      <c r="B382">
        <f t="shared" si="11"/>
        <v>19</v>
      </c>
      <c r="C382" t="s">
        <v>10</v>
      </c>
      <c r="D382" t="s">
        <v>21</v>
      </c>
      <c r="E382" t="s">
        <v>67</v>
      </c>
      <c r="F382" t="s">
        <v>40</v>
      </c>
      <c r="G382">
        <v>38</v>
      </c>
      <c r="H382">
        <v>2488</v>
      </c>
      <c r="I382" t="s">
        <v>485</v>
      </c>
      <c r="J382" t="s">
        <v>15</v>
      </c>
      <c r="K382">
        <v>1950</v>
      </c>
      <c r="L382" s="7">
        <f t="shared" si="10"/>
        <v>94544</v>
      </c>
      <c r="M382" s="7">
        <f>dataset!$L382-T382</f>
        <v>20444</v>
      </c>
      <c r="N382" s="7">
        <f>dataset!$M382/dataset!$L382*100</f>
        <v>21.623794212218648</v>
      </c>
      <c r="O382" s="25">
        <f>dataset!$K382*dataset!$G382</f>
        <v>74100</v>
      </c>
      <c r="P382"/>
      <c r="T382">
        <f>dataset!$K382*dataset!$G382</f>
        <v>74100</v>
      </c>
    </row>
    <row r="383" spans="1:20" x14ac:dyDescent="0.35">
      <c r="A383" s="2">
        <v>45835</v>
      </c>
      <c r="B383">
        <f t="shared" si="11"/>
        <v>27</v>
      </c>
      <c r="C383" t="s">
        <v>20</v>
      </c>
      <c r="D383" t="s">
        <v>66</v>
      </c>
      <c r="E383" t="s">
        <v>42</v>
      </c>
      <c r="F383" t="s">
        <v>56</v>
      </c>
      <c r="G383">
        <v>27</v>
      </c>
      <c r="H383">
        <v>777</v>
      </c>
      <c r="I383" t="s">
        <v>486</v>
      </c>
      <c r="J383" t="s">
        <v>15</v>
      </c>
      <c r="K383">
        <v>400</v>
      </c>
      <c r="L383" s="7">
        <f t="shared" si="10"/>
        <v>20979</v>
      </c>
      <c r="M383" s="7">
        <f>dataset!$L383-T383</f>
        <v>10179</v>
      </c>
      <c r="N383" s="7">
        <f>dataset!$M383/dataset!$L383*100</f>
        <v>48.519948519948521</v>
      </c>
      <c r="O383" s="25">
        <f>dataset!$K383*dataset!$G383</f>
        <v>10800</v>
      </c>
      <c r="P383"/>
      <c r="T383">
        <f>dataset!$K383*dataset!$G383</f>
        <v>10800</v>
      </c>
    </row>
    <row r="384" spans="1:20" x14ac:dyDescent="0.35">
      <c r="A384" s="2">
        <v>45826</v>
      </c>
      <c r="B384">
        <f t="shared" si="11"/>
        <v>18</v>
      </c>
      <c r="C384" t="s">
        <v>26</v>
      </c>
      <c r="D384" t="s">
        <v>27</v>
      </c>
      <c r="E384" t="s">
        <v>22</v>
      </c>
      <c r="F384" t="s">
        <v>52</v>
      </c>
      <c r="G384">
        <v>33</v>
      </c>
      <c r="H384">
        <v>773</v>
      </c>
      <c r="I384" t="s">
        <v>487</v>
      </c>
      <c r="J384" t="s">
        <v>15</v>
      </c>
      <c r="K384">
        <v>550</v>
      </c>
      <c r="L384" s="7">
        <f t="shared" si="10"/>
        <v>25509</v>
      </c>
      <c r="M384" s="7">
        <f>dataset!$L384-T384</f>
        <v>7359</v>
      </c>
      <c r="N384" s="7">
        <f>dataset!$M384/dataset!$L384*100</f>
        <v>28.848641655886158</v>
      </c>
      <c r="O384" s="25">
        <f>dataset!$K384*dataset!$G384</f>
        <v>18150</v>
      </c>
      <c r="P384"/>
      <c r="T384">
        <f>dataset!$K384*dataset!$G384</f>
        <v>18150</v>
      </c>
    </row>
    <row r="385" spans="1:20" x14ac:dyDescent="0.35">
      <c r="A385" s="2">
        <v>45818</v>
      </c>
      <c r="B385">
        <f t="shared" si="11"/>
        <v>10</v>
      </c>
      <c r="C385" t="s">
        <v>20</v>
      </c>
      <c r="D385" t="s">
        <v>27</v>
      </c>
      <c r="E385" t="s">
        <v>64</v>
      </c>
      <c r="F385" t="s">
        <v>13</v>
      </c>
      <c r="G385">
        <v>36</v>
      </c>
      <c r="H385">
        <v>2255</v>
      </c>
      <c r="I385" t="s">
        <v>488</v>
      </c>
      <c r="J385" t="s">
        <v>15</v>
      </c>
      <c r="K385">
        <v>1150</v>
      </c>
      <c r="L385" s="7">
        <f t="shared" si="10"/>
        <v>81180</v>
      </c>
      <c r="M385" s="7">
        <f>dataset!$L385-T385</f>
        <v>39780</v>
      </c>
      <c r="N385" s="7">
        <f>dataset!$M385/dataset!$L385*100</f>
        <v>49.002217294900227</v>
      </c>
      <c r="O385" s="25">
        <f>dataset!$K385*dataset!$G385</f>
        <v>41400</v>
      </c>
      <c r="P385"/>
      <c r="T385">
        <f>dataset!$K385*dataset!$G385</f>
        <v>41400</v>
      </c>
    </row>
    <row r="386" spans="1:20" x14ac:dyDescent="0.35">
      <c r="A386" s="2">
        <v>45750</v>
      </c>
      <c r="B386">
        <f t="shared" si="11"/>
        <v>3</v>
      </c>
      <c r="C386" t="s">
        <v>10</v>
      </c>
      <c r="D386" t="s">
        <v>36</v>
      </c>
      <c r="E386" t="s">
        <v>75</v>
      </c>
      <c r="F386" t="s">
        <v>56</v>
      </c>
      <c r="G386">
        <v>44</v>
      </c>
      <c r="H386">
        <v>694</v>
      </c>
      <c r="I386" t="s">
        <v>489</v>
      </c>
      <c r="J386" t="s">
        <v>25</v>
      </c>
      <c r="K386">
        <v>500</v>
      </c>
      <c r="L386" s="7">
        <f t="shared" ref="L386:L449" si="12">G386*H386</f>
        <v>30536</v>
      </c>
      <c r="M386" s="7">
        <f>dataset!$L386-T386</f>
        <v>8536</v>
      </c>
      <c r="N386" s="7">
        <f>dataset!$M386/dataset!$L386*100</f>
        <v>27.953890489913547</v>
      </c>
      <c r="O386" s="25">
        <f>dataset!$K386*dataset!$G386</f>
        <v>22000</v>
      </c>
      <c r="P386"/>
      <c r="T386">
        <f>dataset!$K386*dataset!$G386</f>
        <v>22000</v>
      </c>
    </row>
    <row r="387" spans="1:20" x14ac:dyDescent="0.35">
      <c r="A387" s="2">
        <v>45758</v>
      </c>
      <c r="B387">
        <f t="shared" ref="B387:B450" si="13">DAY(A387)</f>
        <v>11</v>
      </c>
      <c r="C387" t="s">
        <v>26</v>
      </c>
      <c r="D387" t="s">
        <v>16</v>
      </c>
      <c r="E387" t="s">
        <v>39</v>
      </c>
      <c r="F387" t="s">
        <v>47</v>
      </c>
      <c r="G387">
        <v>20</v>
      </c>
      <c r="H387">
        <v>2284</v>
      </c>
      <c r="I387" t="s">
        <v>490</v>
      </c>
      <c r="J387" t="s">
        <v>25</v>
      </c>
      <c r="K387">
        <v>1950</v>
      </c>
      <c r="L387" s="7">
        <f t="shared" si="12"/>
        <v>45680</v>
      </c>
      <c r="M387" s="7">
        <f>dataset!$L387-T387</f>
        <v>6680</v>
      </c>
      <c r="N387" s="7">
        <f>dataset!$M387/dataset!$L387*100</f>
        <v>14.623467600700527</v>
      </c>
      <c r="O387" s="25">
        <f>dataset!$K387*dataset!$G387</f>
        <v>39000</v>
      </c>
      <c r="P387"/>
      <c r="T387">
        <f>dataset!$K387*dataset!$G387</f>
        <v>39000</v>
      </c>
    </row>
    <row r="388" spans="1:20" x14ac:dyDescent="0.35">
      <c r="A388" s="2">
        <v>45791</v>
      </c>
      <c r="B388">
        <f t="shared" si="13"/>
        <v>14</v>
      </c>
      <c r="C388" t="s">
        <v>26</v>
      </c>
      <c r="D388" t="s">
        <v>36</v>
      </c>
      <c r="E388" t="s">
        <v>54</v>
      </c>
      <c r="F388" t="s">
        <v>31</v>
      </c>
      <c r="G388">
        <v>25</v>
      </c>
      <c r="H388">
        <v>1794</v>
      </c>
      <c r="I388" t="s">
        <v>491</v>
      </c>
      <c r="J388" t="s">
        <v>15</v>
      </c>
      <c r="K388">
        <v>1400</v>
      </c>
      <c r="L388" s="7">
        <f t="shared" si="12"/>
        <v>44850</v>
      </c>
      <c r="M388" s="7">
        <f>dataset!$L388-T388</f>
        <v>9850</v>
      </c>
      <c r="N388" s="7">
        <f>dataset!$M388/dataset!$L388*100</f>
        <v>21.962095875139354</v>
      </c>
      <c r="O388" s="25">
        <f>dataset!$K388*dataset!$G388</f>
        <v>35000</v>
      </c>
      <c r="P388"/>
      <c r="T388">
        <f>dataset!$K388*dataset!$G388</f>
        <v>35000</v>
      </c>
    </row>
    <row r="389" spans="1:20" x14ac:dyDescent="0.35">
      <c r="A389" s="2">
        <v>45837</v>
      </c>
      <c r="B389">
        <f t="shared" si="13"/>
        <v>29</v>
      </c>
      <c r="C389" t="s">
        <v>26</v>
      </c>
      <c r="D389" t="s">
        <v>36</v>
      </c>
      <c r="E389" t="s">
        <v>42</v>
      </c>
      <c r="F389" t="s">
        <v>23</v>
      </c>
      <c r="G389">
        <v>27</v>
      </c>
      <c r="H389">
        <v>388</v>
      </c>
      <c r="I389" t="s">
        <v>492</v>
      </c>
      <c r="J389" t="s">
        <v>25</v>
      </c>
      <c r="K389">
        <v>300</v>
      </c>
      <c r="L389" s="7">
        <f t="shared" si="12"/>
        <v>10476</v>
      </c>
      <c r="M389" s="7">
        <f>dataset!$L389-T389</f>
        <v>2376</v>
      </c>
      <c r="N389" s="7">
        <f>dataset!$M389/dataset!$L389*100</f>
        <v>22.680412371134022</v>
      </c>
      <c r="O389" s="25">
        <f>dataset!$K389*dataset!$G389</f>
        <v>8100</v>
      </c>
      <c r="P389"/>
      <c r="T389">
        <f>dataset!$K389*dataset!$G389</f>
        <v>8100</v>
      </c>
    </row>
    <row r="390" spans="1:20" x14ac:dyDescent="0.35">
      <c r="A390" s="2">
        <v>45819</v>
      </c>
      <c r="B390">
        <f t="shared" si="13"/>
        <v>11</v>
      </c>
      <c r="C390" t="s">
        <v>35</v>
      </c>
      <c r="D390" t="s">
        <v>36</v>
      </c>
      <c r="E390" t="s">
        <v>22</v>
      </c>
      <c r="F390" t="s">
        <v>47</v>
      </c>
      <c r="G390">
        <v>49</v>
      </c>
      <c r="H390">
        <v>2122</v>
      </c>
      <c r="I390" t="s">
        <v>493</v>
      </c>
      <c r="J390" t="s">
        <v>15</v>
      </c>
      <c r="K390">
        <v>1600</v>
      </c>
      <c r="L390" s="7">
        <f t="shared" si="12"/>
        <v>103978</v>
      </c>
      <c r="M390" s="7">
        <f>dataset!$L390-T390</f>
        <v>25578</v>
      </c>
      <c r="N390" s="7">
        <f>dataset!$M390/dataset!$L390*100</f>
        <v>24.599434495758718</v>
      </c>
      <c r="O390" s="25">
        <f>dataset!$K390*dataset!$G390</f>
        <v>78400</v>
      </c>
      <c r="P390"/>
      <c r="T390">
        <f>dataset!$K390*dataset!$G390</f>
        <v>78400</v>
      </c>
    </row>
    <row r="391" spans="1:20" x14ac:dyDescent="0.35">
      <c r="A391" s="2">
        <v>45803</v>
      </c>
      <c r="B391">
        <f t="shared" si="13"/>
        <v>26</v>
      </c>
      <c r="C391" t="s">
        <v>29</v>
      </c>
      <c r="D391" t="s">
        <v>66</v>
      </c>
      <c r="E391" t="s">
        <v>64</v>
      </c>
      <c r="F391" t="s">
        <v>59</v>
      </c>
      <c r="G391">
        <v>25</v>
      </c>
      <c r="H391">
        <v>2442</v>
      </c>
      <c r="I391" t="s">
        <v>89</v>
      </c>
      <c r="J391" t="s">
        <v>25</v>
      </c>
      <c r="K391">
        <v>1750</v>
      </c>
      <c r="L391" s="7">
        <f t="shared" si="12"/>
        <v>61050</v>
      </c>
      <c r="M391" s="7">
        <f>dataset!$L391-T391</f>
        <v>17300</v>
      </c>
      <c r="N391" s="7">
        <f>dataset!$M391/dataset!$L391*100</f>
        <v>28.337428337428339</v>
      </c>
      <c r="O391" s="25">
        <f>dataset!$K391*dataset!$G391</f>
        <v>43750</v>
      </c>
      <c r="P391"/>
      <c r="T391">
        <f>dataset!$K391*dataset!$G391</f>
        <v>43750</v>
      </c>
    </row>
    <row r="392" spans="1:20" x14ac:dyDescent="0.35">
      <c r="A392" s="2">
        <v>45791</v>
      </c>
      <c r="B392">
        <f t="shared" si="13"/>
        <v>14</v>
      </c>
      <c r="C392" t="s">
        <v>29</v>
      </c>
      <c r="D392" t="s">
        <v>66</v>
      </c>
      <c r="E392" t="s">
        <v>22</v>
      </c>
      <c r="F392" t="s">
        <v>56</v>
      </c>
      <c r="G392">
        <v>45</v>
      </c>
      <c r="H392">
        <v>438</v>
      </c>
      <c r="I392" t="s">
        <v>494</v>
      </c>
      <c r="J392" t="s">
        <v>25</v>
      </c>
      <c r="K392">
        <v>300</v>
      </c>
      <c r="L392" s="7">
        <f t="shared" si="12"/>
        <v>19710</v>
      </c>
      <c r="M392" s="7">
        <f>dataset!$L392-T392</f>
        <v>6210</v>
      </c>
      <c r="N392" s="7">
        <f>dataset!$M392/dataset!$L392*100</f>
        <v>31.506849315068493</v>
      </c>
      <c r="O392" s="25">
        <f>dataset!$K392*dataset!$G392</f>
        <v>13500</v>
      </c>
      <c r="P392"/>
      <c r="T392">
        <f>dataset!$K392*dataset!$G392</f>
        <v>13500</v>
      </c>
    </row>
    <row r="393" spans="1:20" x14ac:dyDescent="0.35">
      <c r="A393" s="2">
        <v>45781</v>
      </c>
      <c r="B393">
        <f t="shared" si="13"/>
        <v>4</v>
      </c>
      <c r="C393" t="s">
        <v>35</v>
      </c>
      <c r="D393" t="s">
        <v>21</v>
      </c>
      <c r="E393" t="s">
        <v>39</v>
      </c>
      <c r="F393" t="s">
        <v>31</v>
      </c>
      <c r="G393">
        <v>14</v>
      </c>
      <c r="H393">
        <v>831</v>
      </c>
      <c r="I393" t="s">
        <v>495</v>
      </c>
      <c r="J393" t="s">
        <v>25</v>
      </c>
      <c r="K393">
        <v>650</v>
      </c>
      <c r="L393" s="7">
        <f t="shared" si="12"/>
        <v>11634</v>
      </c>
      <c r="M393" s="7">
        <f>dataset!$L393-T393</f>
        <v>2534</v>
      </c>
      <c r="N393" s="7">
        <f>dataset!$M393/dataset!$L393*100</f>
        <v>21.780986762936223</v>
      </c>
      <c r="O393" s="25">
        <f>dataset!$K393*dataset!$G393</f>
        <v>9100</v>
      </c>
      <c r="P393"/>
      <c r="T393">
        <f>dataset!$K393*dataset!$G393</f>
        <v>9100</v>
      </c>
    </row>
    <row r="394" spans="1:20" x14ac:dyDescent="0.35">
      <c r="A394" s="2">
        <v>45769</v>
      </c>
      <c r="B394">
        <f t="shared" si="13"/>
        <v>22</v>
      </c>
      <c r="C394" t="s">
        <v>10</v>
      </c>
      <c r="D394" t="s">
        <v>33</v>
      </c>
      <c r="E394" t="s">
        <v>67</v>
      </c>
      <c r="F394" t="s">
        <v>40</v>
      </c>
      <c r="G394">
        <v>29</v>
      </c>
      <c r="H394">
        <v>2853</v>
      </c>
      <c r="I394" t="s">
        <v>496</v>
      </c>
      <c r="J394" t="s">
        <v>15</v>
      </c>
      <c r="K394">
        <v>1900</v>
      </c>
      <c r="L394" s="7">
        <f t="shared" si="12"/>
        <v>82737</v>
      </c>
      <c r="M394" s="7">
        <f>dataset!$L394-T394</f>
        <v>27637</v>
      </c>
      <c r="N394" s="7">
        <f>dataset!$M394/dataset!$L394*100</f>
        <v>33.403434980722047</v>
      </c>
      <c r="O394" s="25">
        <f>dataset!$K394*dataset!$G394</f>
        <v>55100</v>
      </c>
      <c r="P394"/>
      <c r="T394">
        <f>dataset!$K394*dataset!$G394</f>
        <v>55100</v>
      </c>
    </row>
    <row r="395" spans="1:20" x14ac:dyDescent="0.35">
      <c r="A395" s="2">
        <v>45770</v>
      </c>
      <c r="B395">
        <f t="shared" si="13"/>
        <v>23</v>
      </c>
      <c r="C395" t="s">
        <v>35</v>
      </c>
      <c r="D395" t="s">
        <v>27</v>
      </c>
      <c r="E395" t="s">
        <v>30</v>
      </c>
      <c r="F395" t="s">
        <v>47</v>
      </c>
      <c r="G395">
        <v>10</v>
      </c>
      <c r="H395">
        <v>2876</v>
      </c>
      <c r="I395" t="s">
        <v>497</v>
      </c>
      <c r="J395" t="s">
        <v>15</v>
      </c>
      <c r="K395">
        <v>1800</v>
      </c>
      <c r="L395" s="7">
        <f t="shared" si="12"/>
        <v>28760</v>
      </c>
      <c r="M395" s="7">
        <f>dataset!$L395-T395</f>
        <v>10760</v>
      </c>
      <c r="N395" s="7">
        <f>dataset!$M395/dataset!$L395*100</f>
        <v>37.413073713490959</v>
      </c>
      <c r="O395" s="25">
        <f>dataset!$K395*dataset!$G395</f>
        <v>18000</v>
      </c>
      <c r="P395"/>
      <c r="T395">
        <f>dataset!$K395*dataset!$G395</f>
        <v>18000</v>
      </c>
    </row>
    <row r="396" spans="1:20" x14ac:dyDescent="0.35">
      <c r="A396" s="2">
        <v>45810</v>
      </c>
      <c r="B396">
        <f t="shared" si="13"/>
        <v>2</v>
      </c>
      <c r="C396" t="s">
        <v>20</v>
      </c>
      <c r="D396" t="s">
        <v>21</v>
      </c>
      <c r="E396" t="s">
        <v>75</v>
      </c>
      <c r="F396" t="s">
        <v>23</v>
      </c>
      <c r="G396">
        <v>49</v>
      </c>
      <c r="H396">
        <v>1194</v>
      </c>
      <c r="I396" t="s">
        <v>498</v>
      </c>
      <c r="J396" t="s">
        <v>25</v>
      </c>
      <c r="K396">
        <v>1050</v>
      </c>
      <c r="L396" s="7">
        <f t="shared" si="12"/>
        <v>58506</v>
      </c>
      <c r="M396" s="7">
        <f>dataset!$L396-T396</f>
        <v>7056</v>
      </c>
      <c r="N396" s="7">
        <f>dataset!$M396/dataset!$L396*100</f>
        <v>12.060301507537687</v>
      </c>
      <c r="O396" s="25">
        <f>dataset!$K396*dataset!$G396</f>
        <v>51450</v>
      </c>
      <c r="P396"/>
      <c r="T396">
        <f>dataset!$K396*dataset!$G396</f>
        <v>51450</v>
      </c>
    </row>
    <row r="397" spans="1:20" x14ac:dyDescent="0.35">
      <c r="A397" s="2">
        <v>45783</v>
      </c>
      <c r="B397">
        <f t="shared" si="13"/>
        <v>6</v>
      </c>
      <c r="C397" t="s">
        <v>10</v>
      </c>
      <c r="D397" t="s">
        <v>33</v>
      </c>
      <c r="E397" t="s">
        <v>67</v>
      </c>
      <c r="F397" t="s">
        <v>18</v>
      </c>
      <c r="G397">
        <v>35</v>
      </c>
      <c r="H397">
        <v>872</v>
      </c>
      <c r="I397" t="s">
        <v>499</v>
      </c>
      <c r="J397" t="s">
        <v>15</v>
      </c>
      <c r="K397">
        <v>450</v>
      </c>
      <c r="L397" s="7">
        <f t="shared" si="12"/>
        <v>30520</v>
      </c>
      <c r="M397" s="7">
        <f>dataset!$L397-T397</f>
        <v>14770</v>
      </c>
      <c r="N397" s="7">
        <f>dataset!$M397/dataset!$L397*100</f>
        <v>48.394495412844037</v>
      </c>
      <c r="O397" s="25">
        <f>dataset!$K397*dataset!$G397</f>
        <v>15750</v>
      </c>
      <c r="P397"/>
      <c r="T397">
        <f>dataset!$K397*dataset!$G397</f>
        <v>15750</v>
      </c>
    </row>
    <row r="398" spans="1:20" x14ac:dyDescent="0.35">
      <c r="A398" s="2">
        <v>45799</v>
      </c>
      <c r="B398">
        <f t="shared" si="13"/>
        <v>22</v>
      </c>
      <c r="C398" t="s">
        <v>20</v>
      </c>
      <c r="D398" t="s">
        <v>36</v>
      </c>
      <c r="E398" t="s">
        <v>42</v>
      </c>
      <c r="F398" t="s">
        <v>56</v>
      </c>
      <c r="G398">
        <v>32</v>
      </c>
      <c r="H398">
        <v>1030</v>
      </c>
      <c r="I398" t="s">
        <v>500</v>
      </c>
      <c r="J398" t="s">
        <v>15</v>
      </c>
      <c r="K398">
        <v>650</v>
      </c>
      <c r="L398" s="7">
        <f t="shared" si="12"/>
        <v>32960</v>
      </c>
      <c r="M398" s="7">
        <f>dataset!$L398-T398</f>
        <v>12160</v>
      </c>
      <c r="N398" s="7">
        <f>dataset!$M398/dataset!$L398*100</f>
        <v>36.893203883495147</v>
      </c>
      <c r="O398" s="25">
        <f>dataset!$K398*dataset!$G398</f>
        <v>20800</v>
      </c>
      <c r="P398"/>
      <c r="T398">
        <f>dataset!$K398*dataset!$G398</f>
        <v>20800</v>
      </c>
    </row>
    <row r="399" spans="1:20" x14ac:dyDescent="0.35">
      <c r="A399" s="2">
        <v>45755</v>
      </c>
      <c r="B399">
        <f t="shared" si="13"/>
        <v>8</v>
      </c>
      <c r="C399" t="s">
        <v>10</v>
      </c>
      <c r="D399" t="s">
        <v>16</v>
      </c>
      <c r="E399" t="s">
        <v>67</v>
      </c>
      <c r="F399" t="s">
        <v>13</v>
      </c>
      <c r="G399">
        <v>11</v>
      </c>
      <c r="H399">
        <v>970</v>
      </c>
      <c r="I399" t="s">
        <v>501</v>
      </c>
      <c r="J399" t="s">
        <v>15</v>
      </c>
      <c r="K399">
        <v>700</v>
      </c>
      <c r="L399" s="7">
        <f t="shared" si="12"/>
        <v>10670</v>
      </c>
      <c r="M399" s="7">
        <f>dataset!$L399-T399</f>
        <v>2970</v>
      </c>
      <c r="N399" s="7">
        <f>dataset!$M399/dataset!$L399*100</f>
        <v>27.835051546391753</v>
      </c>
      <c r="O399" s="25">
        <f>dataset!$K399*dataset!$G399</f>
        <v>7700</v>
      </c>
      <c r="P399"/>
      <c r="T399">
        <f>dataset!$K399*dataset!$G399</f>
        <v>7700</v>
      </c>
    </row>
    <row r="400" spans="1:20" x14ac:dyDescent="0.35">
      <c r="A400" s="2">
        <v>45819</v>
      </c>
      <c r="B400">
        <f t="shared" si="13"/>
        <v>11</v>
      </c>
      <c r="C400" t="s">
        <v>10</v>
      </c>
      <c r="D400" t="s">
        <v>16</v>
      </c>
      <c r="E400" t="s">
        <v>54</v>
      </c>
      <c r="F400" t="s">
        <v>40</v>
      </c>
      <c r="G400">
        <v>14</v>
      </c>
      <c r="H400">
        <v>2199</v>
      </c>
      <c r="I400" t="s">
        <v>502</v>
      </c>
      <c r="J400" t="s">
        <v>25</v>
      </c>
      <c r="K400">
        <v>1400</v>
      </c>
      <c r="L400" s="7">
        <f t="shared" si="12"/>
        <v>30786</v>
      </c>
      <c r="M400" s="7">
        <f>dataset!$L400-T400</f>
        <v>11186</v>
      </c>
      <c r="N400" s="7">
        <f>dataset!$M400/dataset!$L400*100</f>
        <v>36.334697589813551</v>
      </c>
      <c r="O400" s="25">
        <f>dataset!$K400*dataset!$G400</f>
        <v>19600</v>
      </c>
      <c r="P400"/>
      <c r="T400">
        <f>dataset!$K400*dataset!$G400</f>
        <v>19600</v>
      </c>
    </row>
    <row r="401" spans="1:20" x14ac:dyDescent="0.35">
      <c r="A401" s="2">
        <v>45778</v>
      </c>
      <c r="B401">
        <f t="shared" si="13"/>
        <v>1</v>
      </c>
      <c r="C401" t="s">
        <v>29</v>
      </c>
      <c r="D401" t="s">
        <v>11</v>
      </c>
      <c r="E401" t="s">
        <v>54</v>
      </c>
      <c r="F401" t="s">
        <v>40</v>
      </c>
      <c r="G401">
        <v>17</v>
      </c>
      <c r="H401">
        <v>484</v>
      </c>
      <c r="I401" t="s">
        <v>503</v>
      </c>
      <c r="J401" t="s">
        <v>15</v>
      </c>
      <c r="K401">
        <v>350</v>
      </c>
      <c r="L401" s="7">
        <f t="shared" si="12"/>
        <v>8228</v>
      </c>
      <c r="M401" s="7">
        <f>dataset!$L401-T401</f>
        <v>2278</v>
      </c>
      <c r="N401" s="7">
        <f>dataset!$M401/dataset!$L401*100</f>
        <v>27.685950413223143</v>
      </c>
      <c r="O401" s="25">
        <f>dataset!$K401*dataset!$G401</f>
        <v>5950</v>
      </c>
      <c r="P401"/>
      <c r="T401">
        <f>dataset!$K401*dataset!$G401</f>
        <v>5950</v>
      </c>
    </row>
    <row r="402" spans="1:20" x14ac:dyDescent="0.35">
      <c r="A402" s="2">
        <v>45805</v>
      </c>
      <c r="B402">
        <f t="shared" si="13"/>
        <v>28</v>
      </c>
      <c r="C402" t="s">
        <v>20</v>
      </c>
      <c r="D402" t="s">
        <v>36</v>
      </c>
      <c r="E402" t="s">
        <v>22</v>
      </c>
      <c r="F402" t="s">
        <v>18</v>
      </c>
      <c r="G402">
        <v>24</v>
      </c>
      <c r="H402">
        <v>675</v>
      </c>
      <c r="I402" t="s">
        <v>90</v>
      </c>
      <c r="J402" t="s">
        <v>25</v>
      </c>
      <c r="K402">
        <v>550</v>
      </c>
      <c r="L402" s="7">
        <f t="shared" si="12"/>
        <v>16200</v>
      </c>
      <c r="M402" s="7">
        <f>dataset!$L402-T402</f>
        <v>3000</v>
      </c>
      <c r="N402" s="7">
        <f>dataset!$M402/dataset!$L402*100</f>
        <v>18.518518518518519</v>
      </c>
      <c r="O402" s="25">
        <f>dataset!$K402*dataset!$G402</f>
        <v>13200</v>
      </c>
      <c r="P402"/>
      <c r="T402">
        <f>dataset!$K402*dataset!$G402</f>
        <v>13200</v>
      </c>
    </row>
    <row r="403" spans="1:20" x14ac:dyDescent="0.35">
      <c r="A403" s="2">
        <v>45778</v>
      </c>
      <c r="B403">
        <f t="shared" si="13"/>
        <v>1</v>
      </c>
      <c r="C403" t="s">
        <v>35</v>
      </c>
      <c r="D403" t="s">
        <v>36</v>
      </c>
      <c r="E403" t="s">
        <v>42</v>
      </c>
      <c r="F403" t="s">
        <v>40</v>
      </c>
      <c r="G403">
        <v>36</v>
      </c>
      <c r="H403">
        <v>2757</v>
      </c>
      <c r="I403" t="s">
        <v>504</v>
      </c>
      <c r="J403" t="s">
        <v>25</v>
      </c>
      <c r="K403">
        <v>1900</v>
      </c>
      <c r="L403" s="7">
        <f t="shared" si="12"/>
        <v>99252</v>
      </c>
      <c r="M403" s="7">
        <f>dataset!$L403-T403</f>
        <v>30852</v>
      </c>
      <c r="N403" s="7">
        <f>dataset!$M403/dataset!$L403*100</f>
        <v>31.084512150888649</v>
      </c>
      <c r="O403" s="25">
        <f>dataset!$K403*dataset!$G403</f>
        <v>68400</v>
      </c>
      <c r="P403"/>
      <c r="T403">
        <f>dataset!$K403*dataset!$G403</f>
        <v>68400</v>
      </c>
    </row>
    <row r="404" spans="1:20" x14ac:dyDescent="0.35">
      <c r="A404" s="2">
        <v>45778</v>
      </c>
      <c r="B404">
        <f t="shared" si="13"/>
        <v>1</v>
      </c>
      <c r="C404" t="s">
        <v>10</v>
      </c>
      <c r="D404" t="s">
        <v>11</v>
      </c>
      <c r="E404" t="s">
        <v>75</v>
      </c>
      <c r="F404" t="s">
        <v>18</v>
      </c>
      <c r="G404">
        <v>43</v>
      </c>
      <c r="H404">
        <v>1676</v>
      </c>
      <c r="I404" t="s">
        <v>505</v>
      </c>
      <c r="J404" t="s">
        <v>25</v>
      </c>
      <c r="K404">
        <v>1250</v>
      </c>
      <c r="L404" s="7">
        <f t="shared" si="12"/>
        <v>72068</v>
      </c>
      <c r="M404" s="7">
        <f>dataset!$L404-T404</f>
        <v>18318</v>
      </c>
      <c r="N404" s="7">
        <f>dataset!$M404/dataset!$L404*100</f>
        <v>25.417661097852029</v>
      </c>
      <c r="O404" s="25">
        <f>dataset!$K404*dataset!$G404</f>
        <v>53750</v>
      </c>
      <c r="P404"/>
      <c r="T404">
        <f>dataset!$K404*dataset!$G404</f>
        <v>53750</v>
      </c>
    </row>
    <row r="405" spans="1:20" x14ac:dyDescent="0.35">
      <c r="A405" s="2">
        <v>45800</v>
      </c>
      <c r="B405">
        <f t="shared" si="13"/>
        <v>23</v>
      </c>
      <c r="C405" t="s">
        <v>10</v>
      </c>
      <c r="D405" t="s">
        <v>16</v>
      </c>
      <c r="E405" t="s">
        <v>22</v>
      </c>
      <c r="F405" t="s">
        <v>47</v>
      </c>
      <c r="G405">
        <v>10</v>
      </c>
      <c r="H405">
        <v>2720</v>
      </c>
      <c r="I405" t="s">
        <v>506</v>
      </c>
      <c r="J405" t="s">
        <v>25</v>
      </c>
      <c r="K405">
        <v>1800</v>
      </c>
      <c r="L405" s="7">
        <f t="shared" si="12"/>
        <v>27200</v>
      </c>
      <c r="M405" s="7">
        <f>dataset!$L405-T405</f>
        <v>9200</v>
      </c>
      <c r="N405" s="7">
        <f>dataset!$M405/dataset!$L405*100</f>
        <v>33.82352941176471</v>
      </c>
      <c r="O405" s="25">
        <f>dataset!$K405*dataset!$G405</f>
        <v>18000</v>
      </c>
      <c r="P405"/>
      <c r="T405">
        <f>dataset!$K405*dataset!$G405</f>
        <v>18000</v>
      </c>
    </row>
    <row r="406" spans="1:20" x14ac:dyDescent="0.35">
      <c r="A406" s="2">
        <v>45820</v>
      </c>
      <c r="B406">
        <f t="shared" si="13"/>
        <v>12</v>
      </c>
      <c r="C406" t="s">
        <v>26</v>
      </c>
      <c r="D406" t="s">
        <v>16</v>
      </c>
      <c r="E406" t="s">
        <v>12</v>
      </c>
      <c r="F406" t="s">
        <v>13</v>
      </c>
      <c r="G406">
        <v>15</v>
      </c>
      <c r="H406">
        <v>1212</v>
      </c>
      <c r="I406" t="s">
        <v>507</v>
      </c>
      <c r="J406" t="s">
        <v>15</v>
      </c>
      <c r="K406">
        <v>1050</v>
      </c>
      <c r="L406" s="7">
        <f t="shared" si="12"/>
        <v>18180</v>
      </c>
      <c r="M406" s="7">
        <f>dataset!$L406-T406</f>
        <v>2430</v>
      </c>
      <c r="N406" s="7">
        <f>dataset!$M406/dataset!$L406*100</f>
        <v>13.366336633663368</v>
      </c>
      <c r="O406" s="25">
        <f>dataset!$K406*dataset!$G406</f>
        <v>15750</v>
      </c>
      <c r="P406"/>
      <c r="T406">
        <f>dataset!$K406*dataset!$G406</f>
        <v>15750</v>
      </c>
    </row>
    <row r="407" spans="1:20" x14ac:dyDescent="0.35">
      <c r="A407" s="2">
        <v>45794</v>
      </c>
      <c r="B407">
        <f t="shared" si="13"/>
        <v>17</v>
      </c>
      <c r="C407" t="s">
        <v>20</v>
      </c>
      <c r="D407" t="s">
        <v>16</v>
      </c>
      <c r="E407" t="s">
        <v>12</v>
      </c>
      <c r="F407" t="s">
        <v>13</v>
      </c>
      <c r="G407">
        <v>5</v>
      </c>
      <c r="H407">
        <v>1863</v>
      </c>
      <c r="I407" t="s">
        <v>508</v>
      </c>
      <c r="J407" t="s">
        <v>15</v>
      </c>
      <c r="K407">
        <v>1400</v>
      </c>
      <c r="L407" s="7">
        <f t="shared" si="12"/>
        <v>9315</v>
      </c>
      <c r="M407" s="7">
        <f>dataset!$L407-T407</f>
        <v>2315</v>
      </c>
      <c r="N407" s="7">
        <f>dataset!$M407/dataset!$L407*100</f>
        <v>24.852388620504563</v>
      </c>
      <c r="O407" s="25">
        <f>dataset!$K407*dataset!$G407</f>
        <v>7000</v>
      </c>
      <c r="P407"/>
      <c r="T407">
        <f>dataset!$K407*dataset!$G407</f>
        <v>7000</v>
      </c>
    </row>
    <row r="408" spans="1:20" x14ac:dyDescent="0.35">
      <c r="A408" s="2">
        <v>45778</v>
      </c>
      <c r="B408">
        <f t="shared" si="13"/>
        <v>1</v>
      </c>
      <c r="C408" t="s">
        <v>10</v>
      </c>
      <c r="D408" t="s">
        <v>16</v>
      </c>
      <c r="E408" t="s">
        <v>64</v>
      </c>
      <c r="F408" t="s">
        <v>31</v>
      </c>
      <c r="G408">
        <v>18</v>
      </c>
      <c r="H408">
        <v>2785</v>
      </c>
      <c r="I408" t="s">
        <v>509</v>
      </c>
      <c r="J408" t="s">
        <v>25</v>
      </c>
      <c r="K408">
        <v>1550</v>
      </c>
      <c r="L408" s="7">
        <f t="shared" si="12"/>
        <v>50130</v>
      </c>
      <c r="M408" s="7">
        <f>dataset!$L408-T408</f>
        <v>22230</v>
      </c>
      <c r="N408" s="7">
        <f>dataset!$M408/dataset!$L408*100</f>
        <v>44.344703770197484</v>
      </c>
      <c r="O408" s="25">
        <f>dataset!$K408*dataset!$G408</f>
        <v>27900</v>
      </c>
      <c r="P408"/>
      <c r="T408">
        <f>dataset!$K408*dataset!$G408</f>
        <v>27900</v>
      </c>
    </row>
    <row r="409" spans="1:20" x14ac:dyDescent="0.35">
      <c r="A409" s="2">
        <v>45799</v>
      </c>
      <c r="B409">
        <f t="shared" si="13"/>
        <v>22</v>
      </c>
      <c r="C409" t="s">
        <v>20</v>
      </c>
      <c r="D409" t="s">
        <v>27</v>
      </c>
      <c r="E409" t="s">
        <v>22</v>
      </c>
      <c r="F409" t="s">
        <v>37</v>
      </c>
      <c r="G409">
        <v>41</v>
      </c>
      <c r="H409">
        <v>419</v>
      </c>
      <c r="I409" t="s">
        <v>510</v>
      </c>
      <c r="J409" t="s">
        <v>15</v>
      </c>
      <c r="K409">
        <v>350</v>
      </c>
      <c r="L409" s="7">
        <f t="shared" si="12"/>
        <v>17179</v>
      </c>
      <c r="M409" s="7">
        <f>dataset!$L409-T409</f>
        <v>2829</v>
      </c>
      <c r="N409" s="7">
        <f>dataset!$M409/dataset!$L409*100</f>
        <v>16.467780429594274</v>
      </c>
      <c r="O409" s="25">
        <f>dataset!$K409*dataset!$G409</f>
        <v>14350</v>
      </c>
      <c r="P409"/>
      <c r="T409">
        <f>dataset!$K409*dataset!$G409</f>
        <v>14350</v>
      </c>
    </row>
    <row r="410" spans="1:20" x14ac:dyDescent="0.35">
      <c r="A410" s="2">
        <v>45770</v>
      </c>
      <c r="B410">
        <f t="shared" si="13"/>
        <v>23</v>
      </c>
      <c r="C410" t="s">
        <v>20</v>
      </c>
      <c r="D410" t="s">
        <v>11</v>
      </c>
      <c r="E410" t="s">
        <v>12</v>
      </c>
      <c r="F410" t="s">
        <v>56</v>
      </c>
      <c r="G410">
        <v>29</v>
      </c>
      <c r="H410">
        <v>2204</v>
      </c>
      <c r="I410" t="s">
        <v>511</v>
      </c>
      <c r="J410" t="s">
        <v>15</v>
      </c>
      <c r="K410">
        <v>1200</v>
      </c>
      <c r="L410" s="7">
        <f t="shared" si="12"/>
        <v>63916</v>
      </c>
      <c r="M410" s="7">
        <f>dataset!$L410-T410</f>
        <v>29116</v>
      </c>
      <c r="N410" s="7">
        <f>dataset!$M410/dataset!$L410*100</f>
        <v>45.553539019963701</v>
      </c>
      <c r="O410" s="25">
        <f>dataset!$K410*dataset!$G410</f>
        <v>34800</v>
      </c>
      <c r="P410"/>
      <c r="T410">
        <f>dataset!$K410*dataset!$G410</f>
        <v>34800</v>
      </c>
    </row>
    <row r="411" spans="1:20" x14ac:dyDescent="0.35">
      <c r="A411" s="2">
        <v>45774</v>
      </c>
      <c r="B411">
        <f t="shared" si="13"/>
        <v>27</v>
      </c>
      <c r="C411" t="s">
        <v>26</v>
      </c>
      <c r="D411" t="s">
        <v>33</v>
      </c>
      <c r="E411" t="s">
        <v>17</v>
      </c>
      <c r="F411" t="s">
        <v>59</v>
      </c>
      <c r="G411">
        <v>25</v>
      </c>
      <c r="H411">
        <v>2598</v>
      </c>
      <c r="I411" t="s">
        <v>512</v>
      </c>
      <c r="J411" t="s">
        <v>15</v>
      </c>
      <c r="K411">
        <v>2000</v>
      </c>
      <c r="L411" s="7">
        <f t="shared" si="12"/>
        <v>64950</v>
      </c>
      <c r="M411" s="7">
        <f>dataset!$L411-T411</f>
        <v>14950</v>
      </c>
      <c r="N411" s="7">
        <f>dataset!$M411/dataset!$L411*100</f>
        <v>23.017705927636644</v>
      </c>
      <c r="O411" s="25">
        <f>dataset!$K411*dataset!$G411</f>
        <v>50000</v>
      </c>
      <c r="P411"/>
      <c r="T411">
        <f>dataset!$K411*dataset!$G411</f>
        <v>50000</v>
      </c>
    </row>
    <row r="412" spans="1:20" x14ac:dyDescent="0.35">
      <c r="A412" s="2">
        <v>45818</v>
      </c>
      <c r="B412">
        <f t="shared" si="13"/>
        <v>10</v>
      </c>
      <c r="C412" t="s">
        <v>20</v>
      </c>
      <c r="D412" t="s">
        <v>46</v>
      </c>
      <c r="E412" t="s">
        <v>17</v>
      </c>
      <c r="F412" t="s">
        <v>18</v>
      </c>
      <c r="G412">
        <v>15</v>
      </c>
      <c r="H412">
        <v>1110</v>
      </c>
      <c r="I412" t="s">
        <v>513</v>
      </c>
      <c r="J412" t="s">
        <v>15</v>
      </c>
      <c r="K412">
        <v>750</v>
      </c>
      <c r="L412" s="7">
        <f t="shared" si="12"/>
        <v>16650</v>
      </c>
      <c r="M412" s="7">
        <f>dataset!$L412-T412</f>
        <v>5400</v>
      </c>
      <c r="N412" s="7">
        <f>dataset!$M412/dataset!$L412*100</f>
        <v>32.432432432432435</v>
      </c>
      <c r="O412" s="25">
        <f>dataset!$K412*dataset!$G412</f>
        <v>11250</v>
      </c>
      <c r="P412"/>
      <c r="T412">
        <f>dataset!$K412*dataset!$G412</f>
        <v>11250</v>
      </c>
    </row>
    <row r="413" spans="1:20" x14ac:dyDescent="0.35">
      <c r="A413" s="2">
        <v>45776</v>
      </c>
      <c r="B413">
        <f t="shared" si="13"/>
        <v>29</v>
      </c>
      <c r="C413" t="s">
        <v>35</v>
      </c>
      <c r="D413" t="s">
        <v>16</v>
      </c>
      <c r="E413" t="s">
        <v>54</v>
      </c>
      <c r="F413" t="s">
        <v>31</v>
      </c>
      <c r="G413">
        <v>26</v>
      </c>
      <c r="H413">
        <v>1591</v>
      </c>
      <c r="I413" t="s">
        <v>91</v>
      </c>
      <c r="J413" t="s">
        <v>25</v>
      </c>
      <c r="K413">
        <v>1300</v>
      </c>
      <c r="L413" s="7">
        <f t="shared" si="12"/>
        <v>41366</v>
      </c>
      <c r="M413" s="7">
        <f>dataset!$L413-T413</f>
        <v>7566</v>
      </c>
      <c r="N413" s="7">
        <f>dataset!$M413/dataset!$L413*100</f>
        <v>18.290383406662478</v>
      </c>
      <c r="O413" s="25">
        <f>dataset!$K413*dataset!$G413</f>
        <v>33800</v>
      </c>
      <c r="P413"/>
      <c r="T413">
        <f>dataset!$K413*dataset!$G413</f>
        <v>33800</v>
      </c>
    </row>
    <row r="414" spans="1:20" x14ac:dyDescent="0.35">
      <c r="A414" s="2">
        <v>45837</v>
      </c>
      <c r="B414">
        <f t="shared" si="13"/>
        <v>29</v>
      </c>
      <c r="C414" t="s">
        <v>35</v>
      </c>
      <c r="D414" t="s">
        <v>66</v>
      </c>
      <c r="E414" t="s">
        <v>30</v>
      </c>
      <c r="F414" t="s">
        <v>52</v>
      </c>
      <c r="G414">
        <v>27</v>
      </c>
      <c r="H414">
        <v>1774</v>
      </c>
      <c r="I414" t="s">
        <v>514</v>
      </c>
      <c r="J414" t="s">
        <v>15</v>
      </c>
      <c r="K414">
        <v>1150</v>
      </c>
      <c r="L414" s="7">
        <f t="shared" si="12"/>
        <v>47898</v>
      </c>
      <c r="M414" s="7">
        <f>dataset!$L414-T414</f>
        <v>16848</v>
      </c>
      <c r="N414" s="7">
        <f>dataset!$M414/dataset!$L414*100</f>
        <v>35.174746335963924</v>
      </c>
      <c r="O414" s="25">
        <f>dataset!$K414*dataset!$G414</f>
        <v>31050</v>
      </c>
      <c r="P414"/>
      <c r="T414">
        <f>dataset!$K414*dataset!$G414</f>
        <v>31050</v>
      </c>
    </row>
    <row r="415" spans="1:20" x14ac:dyDescent="0.35">
      <c r="A415" s="2">
        <v>45812</v>
      </c>
      <c r="B415">
        <f t="shared" si="13"/>
        <v>4</v>
      </c>
      <c r="C415" t="s">
        <v>10</v>
      </c>
      <c r="D415" t="s">
        <v>66</v>
      </c>
      <c r="E415" t="s">
        <v>75</v>
      </c>
      <c r="F415" t="s">
        <v>40</v>
      </c>
      <c r="G415">
        <v>46</v>
      </c>
      <c r="H415">
        <v>1332</v>
      </c>
      <c r="I415" t="s">
        <v>515</v>
      </c>
      <c r="J415" t="s">
        <v>15</v>
      </c>
      <c r="K415">
        <v>850</v>
      </c>
      <c r="L415" s="7">
        <f t="shared" si="12"/>
        <v>61272</v>
      </c>
      <c r="M415" s="7">
        <f>dataset!$L415-T415</f>
        <v>22172</v>
      </c>
      <c r="N415" s="7">
        <f>dataset!$M415/dataset!$L415*100</f>
        <v>36.186186186186184</v>
      </c>
      <c r="O415" s="25">
        <f>dataset!$K415*dataset!$G415</f>
        <v>39100</v>
      </c>
      <c r="P415"/>
      <c r="T415">
        <f>dataset!$K415*dataset!$G415</f>
        <v>39100</v>
      </c>
    </row>
    <row r="416" spans="1:20" x14ac:dyDescent="0.35">
      <c r="A416" s="2">
        <v>45837</v>
      </c>
      <c r="B416">
        <f t="shared" si="13"/>
        <v>29</v>
      </c>
      <c r="C416" t="s">
        <v>26</v>
      </c>
      <c r="D416" t="s">
        <v>66</v>
      </c>
      <c r="E416" t="s">
        <v>39</v>
      </c>
      <c r="F416" t="s">
        <v>52</v>
      </c>
      <c r="G416">
        <v>36</v>
      </c>
      <c r="H416">
        <v>1955</v>
      </c>
      <c r="I416" t="s">
        <v>516</v>
      </c>
      <c r="J416" t="s">
        <v>25</v>
      </c>
      <c r="K416">
        <v>1600</v>
      </c>
      <c r="L416" s="7">
        <f t="shared" si="12"/>
        <v>70380</v>
      </c>
      <c r="M416" s="7">
        <f>dataset!$L416-T416</f>
        <v>12780</v>
      </c>
      <c r="N416" s="7">
        <f>dataset!$M416/dataset!$L416*100</f>
        <v>18.15856777493606</v>
      </c>
      <c r="O416" s="25">
        <f>dataset!$K416*dataset!$G416</f>
        <v>57600</v>
      </c>
      <c r="P416"/>
      <c r="T416">
        <f>dataset!$K416*dataset!$G416</f>
        <v>57600</v>
      </c>
    </row>
    <row r="417" spans="1:20" x14ac:dyDescent="0.35">
      <c r="A417" s="2">
        <v>45810</v>
      </c>
      <c r="B417">
        <f t="shared" si="13"/>
        <v>2</v>
      </c>
      <c r="C417" t="s">
        <v>29</v>
      </c>
      <c r="D417" t="s">
        <v>46</v>
      </c>
      <c r="E417" t="s">
        <v>30</v>
      </c>
      <c r="F417" t="s">
        <v>18</v>
      </c>
      <c r="G417">
        <v>29</v>
      </c>
      <c r="H417">
        <v>1809</v>
      </c>
      <c r="I417" t="s">
        <v>517</v>
      </c>
      <c r="J417" t="s">
        <v>15</v>
      </c>
      <c r="K417">
        <v>900</v>
      </c>
      <c r="L417" s="7">
        <f t="shared" si="12"/>
        <v>52461</v>
      </c>
      <c r="M417" s="7">
        <f>dataset!$L417-T417</f>
        <v>26361</v>
      </c>
      <c r="N417" s="7">
        <f>dataset!$M417/dataset!$L417*100</f>
        <v>50.248756218905477</v>
      </c>
      <c r="O417" s="25">
        <f>dataset!$K417*dataset!$G417</f>
        <v>26100</v>
      </c>
      <c r="P417"/>
      <c r="T417">
        <f>dataset!$K417*dataset!$G417</f>
        <v>26100</v>
      </c>
    </row>
    <row r="418" spans="1:20" x14ac:dyDescent="0.35">
      <c r="A418" s="2">
        <v>45754</v>
      </c>
      <c r="B418">
        <f t="shared" si="13"/>
        <v>7</v>
      </c>
      <c r="C418" t="s">
        <v>20</v>
      </c>
      <c r="D418" t="s">
        <v>46</v>
      </c>
      <c r="E418" t="s">
        <v>12</v>
      </c>
      <c r="F418" t="s">
        <v>52</v>
      </c>
      <c r="G418">
        <v>43</v>
      </c>
      <c r="H418">
        <v>1770</v>
      </c>
      <c r="I418" t="s">
        <v>518</v>
      </c>
      <c r="J418" t="s">
        <v>25</v>
      </c>
      <c r="K418">
        <v>1200</v>
      </c>
      <c r="L418" s="7">
        <f t="shared" si="12"/>
        <v>76110</v>
      </c>
      <c r="M418" s="7">
        <f>dataset!$L418-T418</f>
        <v>24510</v>
      </c>
      <c r="N418" s="7">
        <f>dataset!$M418/dataset!$L418*100</f>
        <v>32.20338983050847</v>
      </c>
      <c r="O418" s="25">
        <f>dataset!$K418*dataset!$G418</f>
        <v>51600</v>
      </c>
      <c r="P418"/>
      <c r="T418">
        <f>dataset!$K418*dataset!$G418</f>
        <v>51600</v>
      </c>
    </row>
    <row r="419" spans="1:20" x14ac:dyDescent="0.35">
      <c r="A419" s="2">
        <v>45797</v>
      </c>
      <c r="B419">
        <f t="shared" si="13"/>
        <v>20</v>
      </c>
      <c r="C419" t="s">
        <v>20</v>
      </c>
      <c r="D419" t="s">
        <v>11</v>
      </c>
      <c r="E419" t="s">
        <v>22</v>
      </c>
      <c r="F419" t="s">
        <v>56</v>
      </c>
      <c r="G419">
        <v>10</v>
      </c>
      <c r="H419">
        <v>2745</v>
      </c>
      <c r="I419" t="s">
        <v>519</v>
      </c>
      <c r="J419" t="s">
        <v>25</v>
      </c>
      <c r="K419">
        <v>1750</v>
      </c>
      <c r="L419" s="7">
        <f t="shared" si="12"/>
        <v>27450</v>
      </c>
      <c r="M419" s="7">
        <f>dataset!$L419-T419</f>
        <v>9950</v>
      </c>
      <c r="N419" s="7">
        <f>dataset!$M419/dataset!$L419*100</f>
        <v>36.247723132969035</v>
      </c>
      <c r="O419" s="25">
        <f>dataset!$K419*dataset!$G419</f>
        <v>17500</v>
      </c>
      <c r="P419"/>
      <c r="T419">
        <f>dataset!$K419*dataset!$G419</f>
        <v>17500</v>
      </c>
    </row>
    <row r="420" spans="1:20" x14ac:dyDescent="0.35">
      <c r="A420" s="2">
        <v>45790</v>
      </c>
      <c r="B420">
        <f t="shared" si="13"/>
        <v>13</v>
      </c>
      <c r="C420" t="s">
        <v>35</v>
      </c>
      <c r="D420" t="s">
        <v>66</v>
      </c>
      <c r="E420" t="s">
        <v>67</v>
      </c>
      <c r="F420" t="s">
        <v>52</v>
      </c>
      <c r="G420">
        <v>38</v>
      </c>
      <c r="H420">
        <v>2896</v>
      </c>
      <c r="I420" t="s">
        <v>520</v>
      </c>
      <c r="J420" t="s">
        <v>25</v>
      </c>
      <c r="K420">
        <v>2600</v>
      </c>
      <c r="L420" s="7">
        <f t="shared" si="12"/>
        <v>110048</v>
      </c>
      <c r="M420" s="7">
        <f>dataset!$L420-T420</f>
        <v>11248</v>
      </c>
      <c r="N420" s="7">
        <f>dataset!$M420/dataset!$L420*100</f>
        <v>10.220994475138122</v>
      </c>
      <c r="O420" s="25">
        <f>dataset!$K420*dataset!$G420</f>
        <v>98800</v>
      </c>
      <c r="P420"/>
      <c r="T420">
        <f>dataset!$K420*dataset!$G420</f>
        <v>98800</v>
      </c>
    </row>
    <row r="421" spans="1:20" x14ac:dyDescent="0.35">
      <c r="A421" s="2">
        <v>45809</v>
      </c>
      <c r="B421">
        <f t="shared" si="13"/>
        <v>1</v>
      </c>
      <c r="C421" t="s">
        <v>10</v>
      </c>
      <c r="D421" t="s">
        <v>66</v>
      </c>
      <c r="E421" t="s">
        <v>17</v>
      </c>
      <c r="F421" t="s">
        <v>40</v>
      </c>
      <c r="G421">
        <v>39</v>
      </c>
      <c r="H421">
        <v>2951</v>
      </c>
      <c r="I421" t="s">
        <v>521</v>
      </c>
      <c r="J421" t="s">
        <v>25</v>
      </c>
      <c r="K421">
        <v>2300</v>
      </c>
      <c r="L421" s="7">
        <f t="shared" si="12"/>
        <v>115089</v>
      </c>
      <c r="M421" s="7">
        <f>dataset!$L421-T421</f>
        <v>25389</v>
      </c>
      <c r="N421" s="7">
        <f>dataset!$M421/dataset!$L421*100</f>
        <v>22.060318536089461</v>
      </c>
      <c r="O421" s="25">
        <f>dataset!$K421*dataset!$G421</f>
        <v>89700</v>
      </c>
      <c r="P421"/>
      <c r="T421">
        <f>dataset!$K421*dataset!$G421</f>
        <v>89700</v>
      </c>
    </row>
    <row r="422" spans="1:20" x14ac:dyDescent="0.35">
      <c r="A422" s="2">
        <v>45776</v>
      </c>
      <c r="B422">
        <f t="shared" si="13"/>
        <v>29</v>
      </c>
      <c r="C422" t="s">
        <v>35</v>
      </c>
      <c r="D422" t="s">
        <v>46</v>
      </c>
      <c r="E422" t="s">
        <v>67</v>
      </c>
      <c r="F422" t="s">
        <v>37</v>
      </c>
      <c r="G422">
        <v>6</v>
      </c>
      <c r="H422">
        <v>1745</v>
      </c>
      <c r="I422" t="s">
        <v>522</v>
      </c>
      <c r="J422" t="s">
        <v>25</v>
      </c>
      <c r="K422">
        <v>1200</v>
      </c>
      <c r="L422" s="7">
        <f t="shared" si="12"/>
        <v>10470</v>
      </c>
      <c r="M422" s="7">
        <f>dataset!$L422-T422</f>
        <v>3270</v>
      </c>
      <c r="N422" s="7">
        <f>dataset!$M422/dataset!$L422*100</f>
        <v>31.232091690544411</v>
      </c>
      <c r="O422" s="25">
        <f>dataset!$K422*dataset!$G422</f>
        <v>7200</v>
      </c>
      <c r="P422"/>
      <c r="T422">
        <f>dataset!$K422*dataset!$G422</f>
        <v>7200</v>
      </c>
    </row>
    <row r="423" spans="1:20" x14ac:dyDescent="0.35">
      <c r="A423" s="2">
        <v>45824</v>
      </c>
      <c r="B423">
        <f t="shared" si="13"/>
        <v>16</v>
      </c>
      <c r="C423" t="s">
        <v>26</v>
      </c>
      <c r="D423" t="s">
        <v>66</v>
      </c>
      <c r="E423" t="s">
        <v>12</v>
      </c>
      <c r="F423" t="s">
        <v>52</v>
      </c>
      <c r="G423">
        <v>48</v>
      </c>
      <c r="H423">
        <v>1451</v>
      </c>
      <c r="I423" t="s">
        <v>523</v>
      </c>
      <c r="J423" t="s">
        <v>25</v>
      </c>
      <c r="K423">
        <v>950</v>
      </c>
      <c r="L423" s="7">
        <f t="shared" si="12"/>
        <v>69648</v>
      </c>
      <c r="M423" s="7">
        <f>dataset!$L423-T423</f>
        <v>24048</v>
      </c>
      <c r="N423" s="7">
        <f>dataset!$M423/dataset!$L423*100</f>
        <v>34.527911784975878</v>
      </c>
      <c r="O423" s="25">
        <f>dataset!$K423*dataset!$G423</f>
        <v>45600</v>
      </c>
      <c r="P423"/>
      <c r="T423">
        <f>dataset!$K423*dataset!$G423</f>
        <v>45600</v>
      </c>
    </row>
    <row r="424" spans="1:20" x14ac:dyDescent="0.35">
      <c r="A424" s="2">
        <v>45827</v>
      </c>
      <c r="B424">
        <f t="shared" si="13"/>
        <v>19</v>
      </c>
      <c r="C424" t="s">
        <v>20</v>
      </c>
      <c r="D424" t="s">
        <v>21</v>
      </c>
      <c r="E424" t="s">
        <v>17</v>
      </c>
      <c r="F424" t="s">
        <v>37</v>
      </c>
      <c r="G424">
        <v>41</v>
      </c>
      <c r="H424">
        <v>769</v>
      </c>
      <c r="I424" t="s">
        <v>92</v>
      </c>
      <c r="J424" t="s">
        <v>25</v>
      </c>
      <c r="K424">
        <v>600</v>
      </c>
      <c r="L424" s="7">
        <f t="shared" si="12"/>
        <v>31529</v>
      </c>
      <c r="M424" s="7">
        <f>dataset!$L424-T424</f>
        <v>6929</v>
      </c>
      <c r="N424" s="7">
        <f>dataset!$M424/dataset!$L424*100</f>
        <v>21.976592977893368</v>
      </c>
      <c r="O424" s="25">
        <f>dataset!$K424*dataset!$G424</f>
        <v>24600</v>
      </c>
      <c r="P424"/>
      <c r="T424">
        <f>dataset!$K424*dataset!$G424</f>
        <v>24600</v>
      </c>
    </row>
    <row r="425" spans="1:20" x14ac:dyDescent="0.35">
      <c r="A425" s="2">
        <v>45808</v>
      </c>
      <c r="B425">
        <f t="shared" si="13"/>
        <v>31</v>
      </c>
      <c r="C425" t="s">
        <v>20</v>
      </c>
      <c r="D425" t="s">
        <v>33</v>
      </c>
      <c r="E425" t="s">
        <v>75</v>
      </c>
      <c r="F425" t="s">
        <v>23</v>
      </c>
      <c r="G425">
        <v>21</v>
      </c>
      <c r="H425">
        <v>2082</v>
      </c>
      <c r="I425" t="s">
        <v>524</v>
      </c>
      <c r="J425" t="s">
        <v>25</v>
      </c>
      <c r="K425">
        <v>1800</v>
      </c>
      <c r="L425" s="7">
        <f t="shared" si="12"/>
        <v>43722</v>
      </c>
      <c r="M425" s="7">
        <f>dataset!$L425-T425</f>
        <v>5922</v>
      </c>
      <c r="N425" s="7">
        <f>dataset!$M425/dataset!$L425*100</f>
        <v>13.544668587896252</v>
      </c>
      <c r="O425" s="25">
        <f>dataset!$K425*dataset!$G425</f>
        <v>37800</v>
      </c>
      <c r="P425"/>
      <c r="T425">
        <f>dataset!$K425*dataset!$G425</f>
        <v>37800</v>
      </c>
    </row>
    <row r="426" spans="1:20" x14ac:dyDescent="0.35">
      <c r="A426" s="2">
        <v>45807</v>
      </c>
      <c r="B426">
        <f t="shared" si="13"/>
        <v>30</v>
      </c>
      <c r="C426" t="s">
        <v>35</v>
      </c>
      <c r="D426" t="s">
        <v>36</v>
      </c>
      <c r="E426" t="s">
        <v>42</v>
      </c>
      <c r="F426" t="s">
        <v>47</v>
      </c>
      <c r="G426">
        <v>8</v>
      </c>
      <c r="H426">
        <v>1917</v>
      </c>
      <c r="I426" t="s">
        <v>525</v>
      </c>
      <c r="J426" t="s">
        <v>25</v>
      </c>
      <c r="K426">
        <v>1500</v>
      </c>
      <c r="L426" s="7">
        <f t="shared" si="12"/>
        <v>15336</v>
      </c>
      <c r="M426" s="7">
        <f>dataset!$L426-T426</f>
        <v>3336</v>
      </c>
      <c r="N426" s="7">
        <f>dataset!$M426/dataset!$L426*100</f>
        <v>21.752738654147105</v>
      </c>
      <c r="O426" s="25">
        <f>dataset!$K426*dataset!$G426</f>
        <v>12000</v>
      </c>
      <c r="P426"/>
      <c r="T426">
        <f>dataset!$K426*dataset!$G426</f>
        <v>12000</v>
      </c>
    </row>
    <row r="427" spans="1:20" x14ac:dyDescent="0.35">
      <c r="A427" s="2">
        <v>45815</v>
      </c>
      <c r="B427">
        <f t="shared" si="13"/>
        <v>7</v>
      </c>
      <c r="C427" t="s">
        <v>29</v>
      </c>
      <c r="D427" t="s">
        <v>27</v>
      </c>
      <c r="E427" t="s">
        <v>75</v>
      </c>
      <c r="F427" t="s">
        <v>52</v>
      </c>
      <c r="G427">
        <v>21</v>
      </c>
      <c r="H427">
        <v>662</v>
      </c>
      <c r="I427" t="s">
        <v>526</v>
      </c>
      <c r="J427" t="s">
        <v>25</v>
      </c>
      <c r="K427">
        <v>350</v>
      </c>
      <c r="L427" s="7">
        <f t="shared" si="12"/>
        <v>13902</v>
      </c>
      <c r="M427" s="7">
        <f>dataset!$L427-T427</f>
        <v>6552</v>
      </c>
      <c r="N427" s="7">
        <f>dataset!$M427/dataset!$L427*100</f>
        <v>47.129909365558916</v>
      </c>
      <c r="O427" s="25">
        <f>dataset!$K427*dataset!$G427</f>
        <v>7350</v>
      </c>
      <c r="P427"/>
      <c r="T427">
        <f>dataset!$K427*dataset!$G427</f>
        <v>7350</v>
      </c>
    </row>
    <row r="428" spans="1:20" x14ac:dyDescent="0.35">
      <c r="A428" s="2">
        <v>45802</v>
      </c>
      <c r="B428">
        <f t="shared" si="13"/>
        <v>25</v>
      </c>
      <c r="C428" t="s">
        <v>10</v>
      </c>
      <c r="D428" t="s">
        <v>16</v>
      </c>
      <c r="E428" t="s">
        <v>67</v>
      </c>
      <c r="F428" t="s">
        <v>37</v>
      </c>
      <c r="G428">
        <v>32</v>
      </c>
      <c r="H428">
        <v>1283</v>
      </c>
      <c r="I428" t="s">
        <v>527</v>
      </c>
      <c r="J428" t="s">
        <v>15</v>
      </c>
      <c r="K428">
        <v>1050</v>
      </c>
      <c r="L428" s="7">
        <f t="shared" si="12"/>
        <v>41056</v>
      </c>
      <c r="M428" s="7">
        <f>dataset!$L428-T428</f>
        <v>7456</v>
      </c>
      <c r="N428" s="7">
        <f>dataset!$M428/dataset!$L428*100</f>
        <v>18.160561184723303</v>
      </c>
      <c r="O428" s="25">
        <f>dataset!$K428*dataset!$G428</f>
        <v>33600</v>
      </c>
      <c r="P428"/>
      <c r="T428">
        <f>dataset!$K428*dataset!$G428</f>
        <v>33600</v>
      </c>
    </row>
    <row r="429" spans="1:20" x14ac:dyDescent="0.35">
      <c r="A429" s="2">
        <v>45765</v>
      </c>
      <c r="B429">
        <f t="shared" si="13"/>
        <v>18</v>
      </c>
      <c r="C429" t="s">
        <v>26</v>
      </c>
      <c r="D429" t="s">
        <v>46</v>
      </c>
      <c r="E429" t="s">
        <v>75</v>
      </c>
      <c r="F429" t="s">
        <v>40</v>
      </c>
      <c r="G429">
        <v>41</v>
      </c>
      <c r="H429">
        <v>2488</v>
      </c>
      <c r="I429" t="s">
        <v>528</v>
      </c>
      <c r="J429" t="s">
        <v>15</v>
      </c>
      <c r="K429">
        <v>1900</v>
      </c>
      <c r="L429" s="7">
        <f t="shared" si="12"/>
        <v>102008</v>
      </c>
      <c r="M429" s="7">
        <f>dataset!$L429-T429</f>
        <v>24108</v>
      </c>
      <c r="N429" s="7">
        <f>dataset!$M429/dataset!$L429*100</f>
        <v>23.633440514469452</v>
      </c>
      <c r="O429" s="25">
        <f>dataset!$K429*dataset!$G429</f>
        <v>77900</v>
      </c>
      <c r="P429"/>
      <c r="T429">
        <f>dataset!$K429*dataset!$G429</f>
        <v>77900</v>
      </c>
    </row>
    <row r="430" spans="1:20" x14ac:dyDescent="0.35">
      <c r="A430" s="2">
        <v>45788</v>
      </c>
      <c r="B430">
        <f t="shared" si="13"/>
        <v>11</v>
      </c>
      <c r="C430" t="s">
        <v>35</v>
      </c>
      <c r="D430" t="s">
        <v>11</v>
      </c>
      <c r="E430" t="s">
        <v>30</v>
      </c>
      <c r="F430" t="s">
        <v>37</v>
      </c>
      <c r="G430">
        <v>35</v>
      </c>
      <c r="H430">
        <v>2055</v>
      </c>
      <c r="I430" t="s">
        <v>529</v>
      </c>
      <c r="J430" t="s">
        <v>25</v>
      </c>
      <c r="K430">
        <v>1750</v>
      </c>
      <c r="L430" s="7">
        <f t="shared" si="12"/>
        <v>71925</v>
      </c>
      <c r="M430" s="7">
        <f>dataset!$L430-T430</f>
        <v>10675</v>
      </c>
      <c r="N430" s="7">
        <f>dataset!$M430/dataset!$L430*100</f>
        <v>14.841849148418493</v>
      </c>
      <c r="O430" s="25">
        <f>dataset!$K430*dataset!$G430</f>
        <v>61250</v>
      </c>
      <c r="P430"/>
      <c r="T430">
        <f>dataset!$K430*dataset!$G430</f>
        <v>61250</v>
      </c>
    </row>
    <row r="431" spans="1:20" x14ac:dyDescent="0.35">
      <c r="A431" s="2">
        <v>45757</v>
      </c>
      <c r="B431">
        <f t="shared" si="13"/>
        <v>10</v>
      </c>
      <c r="C431" t="s">
        <v>10</v>
      </c>
      <c r="D431" t="s">
        <v>33</v>
      </c>
      <c r="E431" t="s">
        <v>39</v>
      </c>
      <c r="F431" t="s">
        <v>13</v>
      </c>
      <c r="G431">
        <v>35</v>
      </c>
      <c r="H431">
        <v>1711</v>
      </c>
      <c r="I431" t="s">
        <v>530</v>
      </c>
      <c r="J431" t="s">
        <v>25</v>
      </c>
      <c r="K431">
        <v>1300</v>
      </c>
      <c r="L431" s="7">
        <f t="shared" si="12"/>
        <v>59885</v>
      </c>
      <c r="M431" s="7">
        <f>dataset!$L431-T431</f>
        <v>14385</v>
      </c>
      <c r="N431" s="7">
        <f>dataset!$M431/dataset!$L431*100</f>
        <v>24.021040327293981</v>
      </c>
      <c r="O431" s="25">
        <f>dataset!$K431*dataset!$G431</f>
        <v>45500</v>
      </c>
      <c r="P431"/>
      <c r="T431">
        <f>dataset!$K431*dataset!$G431</f>
        <v>45500</v>
      </c>
    </row>
    <row r="432" spans="1:20" x14ac:dyDescent="0.35">
      <c r="A432" s="2">
        <v>45756</v>
      </c>
      <c r="B432">
        <f t="shared" si="13"/>
        <v>9</v>
      </c>
      <c r="C432" t="s">
        <v>35</v>
      </c>
      <c r="D432" t="s">
        <v>66</v>
      </c>
      <c r="E432" t="s">
        <v>67</v>
      </c>
      <c r="F432" t="s">
        <v>59</v>
      </c>
      <c r="G432">
        <v>28</v>
      </c>
      <c r="H432">
        <v>2068</v>
      </c>
      <c r="I432" t="s">
        <v>531</v>
      </c>
      <c r="J432" t="s">
        <v>25</v>
      </c>
      <c r="K432">
        <v>1050</v>
      </c>
      <c r="L432" s="7">
        <f t="shared" si="12"/>
        <v>57904</v>
      </c>
      <c r="M432" s="7">
        <f>dataset!$L432-T432</f>
        <v>28504</v>
      </c>
      <c r="N432" s="7">
        <f>dataset!$M432/dataset!$L432*100</f>
        <v>49.226305609284331</v>
      </c>
      <c r="O432" s="25">
        <f>dataset!$K432*dataset!$G432</f>
        <v>29400</v>
      </c>
      <c r="P432"/>
      <c r="T432">
        <f>dataset!$K432*dataset!$G432</f>
        <v>29400</v>
      </c>
    </row>
    <row r="433" spans="1:20" x14ac:dyDescent="0.35">
      <c r="A433" s="2">
        <v>45785</v>
      </c>
      <c r="B433">
        <f t="shared" si="13"/>
        <v>8</v>
      </c>
      <c r="C433" t="s">
        <v>29</v>
      </c>
      <c r="D433" t="s">
        <v>46</v>
      </c>
      <c r="E433" t="s">
        <v>67</v>
      </c>
      <c r="F433" t="s">
        <v>18</v>
      </c>
      <c r="G433">
        <v>35</v>
      </c>
      <c r="H433">
        <v>1376</v>
      </c>
      <c r="I433" t="s">
        <v>532</v>
      </c>
      <c r="J433" t="s">
        <v>25</v>
      </c>
      <c r="K433">
        <v>1100</v>
      </c>
      <c r="L433" s="7">
        <f t="shared" si="12"/>
        <v>48160</v>
      </c>
      <c r="M433" s="7">
        <f>dataset!$L433-T433</f>
        <v>9660</v>
      </c>
      <c r="N433" s="7">
        <f>dataset!$M433/dataset!$L433*100</f>
        <v>20.058139534883722</v>
      </c>
      <c r="O433" s="25">
        <f>dataset!$K433*dataset!$G433</f>
        <v>38500</v>
      </c>
      <c r="P433"/>
      <c r="T433">
        <f>dataset!$K433*dataset!$G433</f>
        <v>38500</v>
      </c>
    </row>
    <row r="434" spans="1:20" x14ac:dyDescent="0.35">
      <c r="A434" s="2">
        <v>45802</v>
      </c>
      <c r="B434">
        <f t="shared" si="13"/>
        <v>25</v>
      </c>
      <c r="C434" t="s">
        <v>20</v>
      </c>
      <c r="D434" t="s">
        <v>11</v>
      </c>
      <c r="E434" t="s">
        <v>64</v>
      </c>
      <c r="F434" t="s">
        <v>31</v>
      </c>
      <c r="G434">
        <v>14</v>
      </c>
      <c r="H434">
        <v>2743</v>
      </c>
      <c r="I434" t="s">
        <v>533</v>
      </c>
      <c r="J434" t="s">
        <v>25</v>
      </c>
      <c r="K434">
        <v>1750</v>
      </c>
      <c r="L434" s="7">
        <f t="shared" si="12"/>
        <v>38402</v>
      </c>
      <c r="M434" s="7">
        <f>dataset!$L434-T434</f>
        <v>13902</v>
      </c>
      <c r="N434" s="7">
        <f>dataset!$M434/dataset!$L434*100</f>
        <v>36.201239518775061</v>
      </c>
      <c r="O434" s="25">
        <f>dataset!$K434*dataset!$G434</f>
        <v>24500</v>
      </c>
      <c r="P434"/>
      <c r="T434">
        <f>dataset!$K434*dataset!$G434</f>
        <v>24500</v>
      </c>
    </row>
    <row r="435" spans="1:20" x14ac:dyDescent="0.35">
      <c r="A435" s="2">
        <v>45789</v>
      </c>
      <c r="B435">
        <f t="shared" si="13"/>
        <v>12</v>
      </c>
      <c r="C435" t="s">
        <v>29</v>
      </c>
      <c r="D435" t="s">
        <v>16</v>
      </c>
      <c r="E435" t="s">
        <v>30</v>
      </c>
      <c r="F435" t="s">
        <v>37</v>
      </c>
      <c r="G435">
        <v>33</v>
      </c>
      <c r="H435">
        <v>1667</v>
      </c>
      <c r="I435" t="s">
        <v>93</v>
      </c>
      <c r="J435" t="s">
        <v>15</v>
      </c>
      <c r="K435">
        <v>850</v>
      </c>
      <c r="L435" s="7">
        <f t="shared" si="12"/>
        <v>55011</v>
      </c>
      <c r="M435" s="7">
        <f>dataset!$L435-T435</f>
        <v>26961</v>
      </c>
      <c r="N435" s="7">
        <f>dataset!$M435/dataset!$L435*100</f>
        <v>49.010197960407922</v>
      </c>
      <c r="O435" s="25">
        <f>dataset!$K435*dataset!$G435</f>
        <v>28050</v>
      </c>
      <c r="P435"/>
      <c r="T435">
        <f>dataset!$K435*dataset!$G435</f>
        <v>28050</v>
      </c>
    </row>
    <row r="436" spans="1:20" x14ac:dyDescent="0.35">
      <c r="A436" s="2">
        <v>45806</v>
      </c>
      <c r="B436">
        <f t="shared" si="13"/>
        <v>29</v>
      </c>
      <c r="C436" t="s">
        <v>10</v>
      </c>
      <c r="D436" t="s">
        <v>36</v>
      </c>
      <c r="E436" t="s">
        <v>30</v>
      </c>
      <c r="F436" t="s">
        <v>23</v>
      </c>
      <c r="G436">
        <v>21</v>
      </c>
      <c r="H436">
        <v>412</v>
      </c>
      <c r="I436" t="s">
        <v>534</v>
      </c>
      <c r="J436" t="s">
        <v>25</v>
      </c>
      <c r="K436">
        <v>350</v>
      </c>
      <c r="L436" s="7">
        <f t="shared" si="12"/>
        <v>8652</v>
      </c>
      <c r="M436" s="7">
        <f>dataset!$L436-T436</f>
        <v>1302</v>
      </c>
      <c r="N436" s="7">
        <f>dataset!$M436/dataset!$L436*100</f>
        <v>15.048543689320388</v>
      </c>
      <c r="O436" s="25">
        <f>dataset!$K436*dataset!$G436</f>
        <v>7350</v>
      </c>
      <c r="P436"/>
      <c r="T436">
        <f>dataset!$K436*dataset!$G436</f>
        <v>7350</v>
      </c>
    </row>
    <row r="437" spans="1:20" x14ac:dyDescent="0.35">
      <c r="A437" s="2">
        <v>45776</v>
      </c>
      <c r="B437">
        <f t="shared" si="13"/>
        <v>29</v>
      </c>
      <c r="C437" t="s">
        <v>26</v>
      </c>
      <c r="D437" t="s">
        <v>21</v>
      </c>
      <c r="E437" t="s">
        <v>30</v>
      </c>
      <c r="F437" t="s">
        <v>23</v>
      </c>
      <c r="G437">
        <v>8</v>
      </c>
      <c r="H437">
        <v>2980</v>
      </c>
      <c r="I437" t="s">
        <v>535</v>
      </c>
      <c r="J437" t="s">
        <v>15</v>
      </c>
      <c r="K437">
        <v>1900</v>
      </c>
      <c r="L437" s="7">
        <f t="shared" si="12"/>
        <v>23840</v>
      </c>
      <c r="M437" s="7">
        <f>dataset!$L437-T437</f>
        <v>8640</v>
      </c>
      <c r="N437" s="7">
        <f>dataset!$M437/dataset!$L437*100</f>
        <v>36.241610738255034</v>
      </c>
      <c r="O437" s="25">
        <f>dataset!$K437*dataset!$G437</f>
        <v>15200</v>
      </c>
      <c r="P437"/>
      <c r="T437">
        <f>dataset!$K437*dataset!$G437</f>
        <v>15200</v>
      </c>
    </row>
    <row r="438" spans="1:20" x14ac:dyDescent="0.35">
      <c r="A438" s="2">
        <v>45782</v>
      </c>
      <c r="B438">
        <f t="shared" si="13"/>
        <v>5</v>
      </c>
      <c r="C438" t="s">
        <v>26</v>
      </c>
      <c r="D438" t="s">
        <v>27</v>
      </c>
      <c r="E438" t="s">
        <v>22</v>
      </c>
      <c r="F438" t="s">
        <v>40</v>
      </c>
      <c r="G438">
        <v>25</v>
      </c>
      <c r="H438">
        <v>376</v>
      </c>
      <c r="I438" t="s">
        <v>536</v>
      </c>
      <c r="J438" t="s">
        <v>25</v>
      </c>
      <c r="K438">
        <v>200</v>
      </c>
      <c r="L438" s="7">
        <f t="shared" si="12"/>
        <v>9400</v>
      </c>
      <c r="M438" s="7">
        <f>dataset!$L438-T438</f>
        <v>4400</v>
      </c>
      <c r="N438" s="7">
        <f>dataset!$M438/dataset!$L438*100</f>
        <v>46.808510638297875</v>
      </c>
      <c r="O438" s="25">
        <f>dataset!$K438*dataset!$G438</f>
        <v>5000</v>
      </c>
      <c r="P438"/>
      <c r="T438">
        <f>dataset!$K438*dataset!$G438</f>
        <v>5000</v>
      </c>
    </row>
    <row r="439" spans="1:20" x14ac:dyDescent="0.35">
      <c r="A439" s="2">
        <v>45788</v>
      </c>
      <c r="B439">
        <f t="shared" si="13"/>
        <v>11</v>
      </c>
      <c r="C439" t="s">
        <v>35</v>
      </c>
      <c r="D439" t="s">
        <v>27</v>
      </c>
      <c r="E439" t="s">
        <v>17</v>
      </c>
      <c r="F439" t="s">
        <v>47</v>
      </c>
      <c r="G439">
        <v>12</v>
      </c>
      <c r="H439">
        <v>1190</v>
      </c>
      <c r="I439" t="s">
        <v>537</v>
      </c>
      <c r="J439" t="s">
        <v>25</v>
      </c>
      <c r="K439">
        <v>600</v>
      </c>
      <c r="L439" s="7">
        <f t="shared" si="12"/>
        <v>14280</v>
      </c>
      <c r="M439" s="7">
        <f>dataset!$L439-T439</f>
        <v>7080</v>
      </c>
      <c r="N439" s="7">
        <f>dataset!$M439/dataset!$L439*100</f>
        <v>49.579831932773111</v>
      </c>
      <c r="O439" s="25">
        <f>dataset!$K439*dataset!$G439</f>
        <v>7200</v>
      </c>
      <c r="P439"/>
      <c r="T439">
        <f>dataset!$K439*dataset!$G439</f>
        <v>7200</v>
      </c>
    </row>
    <row r="440" spans="1:20" x14ac:dyDescent="0.35">
      <c r="A440" s="2">
        <v>45783</v>
      </c>
      <c r="B440">
        <f t="shared" si="13"/>
        <v>6</v>
      </c>
      <c r="C440" t="s">
        <v>35</v>
      </c>
      <c r="D440" t="s">
        <v>33</v>
      </c>
      <c r="E440" t="s">
        <v>67</v>
      </c>
      <c r="F440" t="s">
        <v>52</v>
      </c>
      <c r="G440">
        <v>7</v>
      </c>
      <c r="H440">
        <v>2180</v>
      </c>
      <c r="I440" t="s">
        <v>538</v>
      </c>
      <c r="J440" t="s">
        <v>25</v>
      </c>
      <c r="K440">
        <v>1800</v>
      </c>
      <c r="L440" s="7">
        <f t="shared" si="12"/>
        <v>15260</v>
      </c>
      <c r="M440" s="7">
        <f>dataset!$L440-T440</f>
        <v>2660</v>
      </c>
      <c r="N440" s="7">
        <f>dataset!$M440/dataset!$L440*100</f>
        <v>17.431192660550458</v>
      </c>
      <c r="O440" s="25">
        <f>dataset!$K440*dataset!$G440</f>
        <v>12600</v>
      </c>
      <c r="P440"/>
      <c r="T440">
        <f>dataset!$K440*dataset!$G440</f>
        <v>12600</v>
      </c>
    </row>
    <row r="441" spans="1:20" x14ac:dyDescent="0.35">
      <c r="A441" s="2">
        <v>45778</v>
      </c>
      <c r="B441">
        <f t="shared" si="13"/>
        <v>1</v>
      </c>
      <c r="C441" t="s">
        <v>20</v>
      </c>
      <c r="D441" t="s">
        <v>66</v>
      </c>
      <c r="E441" t="s">
        <v>30</v>
      </c>
      <c r="F441" t="s">
        <v>13</v>
      </c>
      <c r="G441">
        <v>26</v>
      </c>
      <c r="H441">
        <v>2695</v>
      </c>
      <c r="I441" t="s">
        <v>539</v>
      </c>
      <c r="J441" t="s">
        <v>25</v>
      </c>
      <c r="K441">
        <v>2300</v>
      </c>
      <c r="L441" s="7">
        <f t="shared" si="12"/>
        <v>70070</v>
      </c>
      <c r="M441" s="7">
        <f>dataset!$L441-T441</f>
        <v>10270</v>
      </c>
      <c r="N441" s="7">
        <f>dataset!$M441/dataset!$L441*100</f>
        <v>14.656771799628942</v>
      </c>
      <c r="O441" s="25">
        <f>dataset!$K441*dataset!$G441</f>
        <v>59800</v>
      </c>
      <c r="P441"/>
      <c r="T441">
        <f>dataset!$K441*dataset!$G441</f>
        <v>59800</v>
      </c>
    </row>
    <row r="442" spans="1:20" x14ac:dyDescent="0.35">
      <c r="A442" s="2">
        <v>45815</v>
      </c>
      <c r="B442">
        <f t="shared" si="13"/>
        <v>7</v>
      </c>
      <c r="C442" t="s">
        <v>20</v>
      </c>
      <c r="D442" t="s">
        <v>33</v>
      </c>
      <c r="E442" t="s">
        <v>22</v>
      </c>
      <c r="F442" t="s">
        <v>37</v>
      </c>
      <c r="G442">
        <v>16</v>
      </c>
      <c r="H442">
        <v>2632</v>
      </c>
      <c r="I442" t="s">
        <v>540</v>
      </c>
      <c r="J442" t="s">
        <v>15</v>
      </c>
      <c r="K442">
        <v>1700</v>
      </c>
      <c r="L442" s="7">
        <f t="shared" si="12"/>
        <v>42112</v>
      </c>
      <c r="M442" s="7">
        <f>dataset!$L442-T442</f>
        <v>14912</v>
      </c>
      <c r="N442" s="7">
        <f>dataset!$M442/dataset!$L442*100</f>
        <v>35.410334346504555</v>
      </c>
      <c r="O442" s="25">
        <f>dataset!$K442*dataset!$G442</f>
        <v>27200</v>
      </c>
      <c r="P442"/>
      <c r="T442">
        <f>dataset!$K442*dataset!$G442</f>
        <v>27200</v>
      </c>
    </row>
    <row r="443" spans="1:20" x14ac:dyDescent="0.35">
      <c r="A443" s="2">
        <v>45836</v>
      </c>
      <c r="B443">
        <f t="shared" si="13"/>
        <v>28</v>
      </c>
      <c r="C443" t="s">
        <v>10</v>
      </c>
      <c r="D443" t="s">
        <v>36</v>
      </c>
      <c r="E443" t="s">
        <v>17</v>
      </c>
      <c r="F443" t="s">
        <v>18</v>
      </c>
      <c r="G443">
        <v>19</v>
      </c>
      <c r="H443">
        <v>1853</v>
      </c>
      <c r="I443" t="s">
        <v>541</v>
      </c>
      <c r="J443" t="s">
        <v>15</v>
      </c>
      <c r="K443">
        <v>950</v>
      </c>
      <c r="L443" s="7">
        <f t="shared" si="12"/>
        <v>35207</v>
      </c>
      <c r="M443" s="7">
        <f>dataset!$L443-T443</f>
        <v>17157</v>
      </c>
      <c r="N443" s="7">
        <f>dataset!$M443/dataset!$L443*100</f>
        <v>48.731786292498654</v>
      </c>
      <c r="O443" s="25">
        <f>dataset!$K443*dataset!$G443</f>
        <v>18050</v>
      </c>
      <c r="P443"/>
      <c r="T443">
        <f>dataset!$K443*dataset!$G443</f>
        <v>18050</v>
      </c>
    </row>
    <row r="444" spans="1:20" x14ac:dyDescent="0.35">
      <c r="A444" s="2">
        <v>45749</v>
      </c>
      <c r="B444">
        <f t="shared" si="13"/>
        <v>2</v>
      </c>
      <c r="C444" t="s">
        <v>29</v>
      </c>
      <c r="D444" t="s">
        <v>36</v>
      </c>
      <c r="E444" t="s">
        <v>54</v>
      </c>
      <c r="F444" t="s">
        <v>56</v>
      </c>
      <c r="G444">
        <v>33</v>
      </c>
      <c r="H444">
        <v>1027</v>
      </c>
      <c r="I444" t="s">
        <v>542</v>
      </c>
      <c r="J444" t="s">
        <v>25</v>
      </c>
      <c r="K444">
        <v>650</v>
      </c>
      <c r="L444" s="7">
        <f t="shared" si="12"/>
        <v>33891</v>
      </c>
      <c r="M444" s="7">
        <f>dataset!$L444-T444</f>
        <v>12441</v>
      </c>
      <c r="N444" s="7">
        <f>dataset!$M444/dataset!$L444*100</f>
        <v>36.708860759493675</v>
      </c>
      <c r="O444" s="25">
        <f>dataset!$K444*dataset!$G444</f>
        <v>21450</v>
      </c>
      <c r="P444"/>
      <c r="T444">
        <f>dataset!$K444*dataset!$G444</f>
        <v>21450</v>
      </c>
    </row>
    <row r="445" spans="1:20" x14ac:dyDescent="0.35">
      <c r="A445" s="2">
        <v>45802</v>
      </c>
      <c r="B445">
        <f t="shared" si="13"/>
        <v>25</v>
      </c>
      <c r="C445" t="s">
        <v>29</v>
      </c>
      <c r="D445" t="s">
        <v>33</v>
      </c>
      <c r="E445" t="s">
        <v>42</v>
      </c>
      <c r="F445" t="s">
        <v>40</v>
      </c>
      <c r="G445">
        <v>14</v>
      </c>
      <c r="H445">
        <v>392</v>
      </c>
      <c r="I445" t="s">
        <v>543</v>
      </c>
      <c r="J445" t="s">
        <v>25</v>
      </c>
      <c r="K445">
        <v>200</v>
      </c>
      <c r="L445" s="7">
        <f t="shared" si="12"/>
        <v>5488</v>
      </c>
      <c r="M445" s="7">
        <f>dataset!$L445-T445</f>
        <v>2688</v>
      </c>
      <c r="N445" s="7">
        <f>dataset!$M445/dataset!$L445*100</f>
        <v>48.979591836734691</v>
      </c>
      <c r="O445" s="25">
        <f>dataset!$K445*dataset!$G445</f>
        <v>2800</v>
      </c>
      <c r="P445"/>
      <c r="T445">
        <f>dataset!$K445*dataset!$G445</f>
        <v>2800</v>
      </c>
    </row>
    <row r="446" spans="1:20" x14ac:dyDescent="0.35">
      <c r="A446" s="2">
        <v>45815</v>
      </c>
      <c r="B446">
        <f t="shared" si="13"/>
        <v>7</v>
      </c>
      <c r="C446" t="s">
        <v>29</v>
      </c>
      <c r="D446" t="s">
        <v>11</v>
      </c>
      <c r="E446" t="s">
        <v>30</v>
      </c>
      <c r="F446" t="s">
        <v>31</v>
      </c>
      <c r="G446">
        <v>38</v>
      </c>
      <c r="H446">
        <v>2020</v>
      </c>
      <c r="I446" t="s">
        <v>32</v>
      </c>
      <c r="J446" t="s">
        <v>15</v>
      </c>
      <c r="K446">
        <v>1400</v>
      </c>
      <c r="L446" s="7">
        <f t="shared" si="12"/>
        <v>76760</v>
      </c>
      <c r="M446" s="7">
        <f>dataset!$L446-T446</f>
        <v>23560</v>
      </c>
      <c r="N446" s="7">
        <f>dataset!$M446/dataset!$L446*100</f>
        <v>30.693069306930692</v>
      </c>
      <c r="O446" s="25">
        <f>dataset!$K446*dataset!$G446</f>
        <v>53200</v>
      </c>
      <c r="P446"/>
      <c r="T446">
        <f>dataset!$K446*dataset!$G446</f>
        <v>53200</v>
      </c>
    </row>
    <row r="447" spans="1:20" x14ac:dyDescent="0.35">
      <c r="A447" s="2">
        <v>45820</v>
      </c>
      <c r="B447">
        <f t="shared" si="13"/>
        <v>12</v>
      </c>
      <c r="C447" t="s">
        <v>26</v>
      </c>
      <c r="D447" t="s">
        <v>33</v>
      </c>
      <c r="E447" t="s">
        <v>12</v>
      </c>
      <c r="F447" t="s">
        <v>18</v>
      </c>
      <c r="G447">
        <v>42</v>
      </c>
      <c r="H447">
        <v>383</v>
      </c>
      <c r="I447" t="s">
        <v>94</v>
      </c>
      <c r="J447" t="s">
        <v>25</v>
      </c>
      <c r="K447">
        <v>250</v>
      </c>
      <c r="L447" s="7">
        <f t="shared" si="12"/>
        <v>16086</v>
      </c>
      <c r="M447" s="7">
        <f>dataset!$L447-T447</f>
        <v>5586</v>
      </c>
      <c r="N447" s="7">
        <f>dataset!$M447/dataset!$L447*100</f>
        <v>34.725848563968668</v>
      </c>
      <c r="O447" s="25">
        <f>dataset!$K447*dataset!$G447</f>
        <v>10500</v>
      </c>
      <c r="P447"/>
      <c r="T447">
        <f>dataset!$K447*dataset!$G447</f>
        <v>10500</v>
      </c>
    </row>
    <row r="448" spans="1:20" x14ac:dyDescent="0.35">
      <c r="A448" s="2">
        <v>45831</v>
      </c>
      <c r="B448">
        <f t="shared" si="13"/>
        <v>23</v>
      </c>
      <c r="C448" t="s">
        <v>29</v>
      </c>
      <c r="D448" t="s">
        <v>33</v>
      </c>
      <c r="E448" t="s">
        <v>17</v>
      </c>
      <c r="F448" t="s">
        <v>13</v>
      </c>
      <c r="G448">
        <v>18</v>
      </c>
      <c r="H448">
        <v>2382</v>
      </c>
      <c r="I448" t="s">
        <v>544</v>
      </c>
      <c r="J448" t="s">
        <v>15</v>
      </c>
      <c r="K448">
        <v>1800</v>
      </c>
      <c r="L448" s="7">
        <f t="shared" si="12"/>
        <v>42876</v>
      </c>
      <c r="M448" s="7">
        <f>dataset!$L448-T448</f>
        <v>10476</v>
      </c>
      <c r="N448" s="7">
        <f>dataset!$M448/dataset!$L448*100</f>
        <v>24.433249370277078</v>
      </c>
      <c r="O448" s="25">
        <f>dataset!$K448*dataset!$G448</f>
        <v>32400</v>
      </c>
      <c r="P448"/>
      <c r="T448">
        <f>dataset!$K448*dataset!$G448</f>
        <v>32400</v>
      </c>
    </row>
    <row r="449" spans="1:20" x14ac:dyDescent="0.35">
      <c r="A449" s="2">
        <v>45812</v>
      </c>
      <c r="B449">
        <f t="shared" si="13"/>
        <v>4</v>
      </c>
      <c r="C449" t="s">
        <v>20</v>
      </c>
      <c r="D449" t="s">
        <v>16</v>
      </c>
      <c r="E449" t="s">
        <v>17</v>
      </c>
      <c r="F449" t="s">
        <v>23</v>
      </c>
      <c r="G449">
        <v>12</v>
      </c>
      <c r="H449">
        <v>2992</v>
      </c>
      <c r="I449" t="s">
        <v>545</v>
      </c>
      <c r="J449" t="s">
        <v>15</v>
      </c>
      <c r="K449">
        <v>2450</v>
      </c>
      <c r="L449" s="7">
        <f t="shared" si="12"/>
        <v>35904</v>
      </c>
      <c r="M449" s="7">
        <f>dataset!$L449-T449</f>
        <v>6504</v>
      </c>
      <c r="N449" s="7">
        <f>dataset!$M449/dataset!$L449*100</f>
        <v>18.114973262032088</v>
      </c>
      <c r="O449" s="25">
        <f>dataset!$K449*dataset!$G449</f>
        <v>29400</v>
      </c>
      <c r="P449"/>
      <c r="T449">
        <f>dataset!$K449*dataset!$G449</f>
        <v>29400</v>
      </c>
    </row>
    <row r="450" spans="1:20" x14ac:dyDescent="0.35">
      <c r="A450" s="2">
        <v>45814</v>
      </c>
      <c r="B450">
        <f t="shared" si="13"/>
        <v>6</v>
      </c>
      <c r="C450" t="s">
        <v>29</v>
      </c>
      <c r="D450" t="s">
        <v>16</v>
      </c>
      <c r="E450" t="s">
        <v>75</v>
      </c>
      <c r="F450" t="s">
        <v>13</v>
      </c>
      <c r="G450">
        <v>14</v>
      </c>
      <c r="H450">
        <v>1463</v>
      </c>
      <c r="I450" t="s">
        <v>546</v>
      </c>
      <c r="J450" t="s">
        <v>25</v>
      </c>
      <c r="K450">
        <v>950</v>
      </c>
      <c r="L450" s="7">
        <f t="shared" ref="L450:L513" si="14">G450*H450</f>
        <v>20482</v>
      </c>
      <c r="M450" s="7">
        <f>dataset!$L450-T450</f>
        <v>7182</v>
      </c>
      <c r="N450" s="7">
        <f>dataset!$M450/dataset!$L450*100</f>
        <v>35.064935064935064</v>
      </c>
      <c r="O450" s="25">
        <f>dataset!$K450*dataset!$G450</f>
        <v>13300</v>
      </c>
      <c r="P450"/>
      <c r="T450">
        <f>dataset!$K450*dataset!$G450</f>
        <v>13300</v>
      </c>
    </row>
    <row r="451" spans="1:20" x14ac:dyDescent="0.35">
      <c r="A451" s="2">
        <v>45785</v>
      </c>
      <c r="B451">
        <f t="shared" ref="B451:B514" si="15">DAY(A451)</f>
        <v>8</v>
      </c>
      <c r="C451" t="s">
        <v>10</v>
      </c>
      <c r="D451" t="s">
        <v>16</v>
      </c>
      <c r="E451" t="s">
        <v>30</v>
      </c>
      <c r="F451" t="s">
        <v>31</v>
      </c>
      <c r="G451">
        <v>19</v>
      </c>
      <c r="H451">
        <v>1636</v>
      </c>
      <c r="I451" t="s">
        <v>547</v>
      </c>
      <c r="J451" t="s">
        <v>25</v>
      </c>
      <c r="K451">
        <v>900</v>
      </c>
      <c r="L451" s="7">
        <f t="shared" si="14"/>
        <v>31084</v>
      </c>
      <c r="M451" s="7">
        <f>dataset!$L451-T451</f>
        <v>13984</v>
      </c>
      <c r="N451" s="7">
        <f>dataset!$M451/dataset!$L451*100</f>
        <v>44.987775061124694</v>
      </c>
      <c r="O451" s="25">
        <f>dataset!$K451*dataset!$G451</f>
        <v>17100</v>
      </c>
      <c r="P451"/>
      <c r="T451">
        <f>dataset!$K451*dataset!$G451</f>
        <v>17100</v>
      </c>
    </row>
    <row r="452" spans="1:20" x14ac:dyDescent="0.35">
      <c r="A452" s="2">
        <v>45754</v>
      </c>
      <c r="B452">
        <f t="shared" si="15"/>
        <v>7</v>
      </c>
      <c r="C452" t="s">
        <v>26</v>
      </c>
      <c r="D452" t="s">
        <v>66</v>
      </c>
      <c r="E452" t="s">
        <v>39</v>
      </c>
      <c r="F452" t="s">
        <v>40</v>
      </c>
      <c r="G452">
        <v>36</v>
      </c>
      <c r="H452">
        <v>1312</v>
      </c>
      <c r="I452" t="s">
        <v>548</v>
      </c>
      <c r="J452" t="s">
        <v>15</v>
      </c>
      <c r="K452">
        <v>1150</v>
      </c>
      <c r="L452" s="7">
        <f t="shared" si="14"/>
        <v>47232</v>
      </c>
      <c r="M452" s="7">
        <f>dataset!$L452-T452</f>
        <v>5832</v>
      </c>
      <c r="N452" s="7">
        <f>dataset!$M452/dataset!$L452*100</f>
        <v>12.347560975609756</v>
      </c>
      <c r="O452" s="25">
        <f>dataset!$K452*dataset!$G452</f>
        <v>41400</v>
      </c>
      <c r="P452"/>
      <c r="T452">
        <f>dataset!$K452*dataset!$G452</f>
        <v>41400</v>
      </c>
    </row>
    <row r="453" spans="1:20" x14ac:dyDescent="0.35">
      <c r="A453" s="2">
        <v>45783</v>
      </c>
      <c r="B453">
        <f t="shared" si="15"/>
        <v>6</v>
      </c>
      <c r="C453" t="s">
        <v>35</v>
      </c>
      <c r="D453" t="s">
        <v>46</v>
      </c>
      <c r="E453" t="s">
        <v>39</v>
      </c>
      <c r="F453" t="s">
        <v>52</v>
      </c>
      <c r="G453">
        <v>14</v>
      </c>
      <c r="H453">
        <v>1581</v>
      </c>
      <c r="I453" t="s">
        <v>549</v>
      </c>
      <c r="J453" t="s">
        <v>25</v>
      </c>
      <c r="K453">
        <v>1350</v>
      </c>
      <c r="L453" s="7">
        <f t="shared" si="14"/>
        <v>22134</v>
      </c>
      <c r="M453" s="7">
        <f>dataset!$L453-T453</f>
        <v>3234</v>
      </c>
      <c r="N453" s="7">
        <f>dataset!$M453/dataset!$L453*100</f>
        <v>14.611005692599621</v>
      </c>
      <c r="O453" s="25">
        <f>dataset!$K453*dataset!$G453</f>
        <v>18900</v>
      </c>
      <c r="P453"/>
      <c r="T453">
        <f>dataset!$K453*dataset!$G453</f>
        <v>18900</v>
      </c>
    </row>
    <row r="454" spans="1:20" x14ac:dyDescent="0.35">
      <c r="A454" s="2">
        <v>45791</v>
      </c>
      <c r="B454">
        <f t="shared" si="15"/>
        <v>14</v>
      </c>
      <c r="C454" t="s">
        <v>29</v>
      </c>
      <c r="D454" t="s">
        <v>46</v>
      </c>
      <c r="E454" t="s">
        <v>42</v>
      </c>
      <c r="F454" t="s">
        <v>23</v>
      </c>
      <c r="G454">
        <v>29</v>
      </c>
      <c r="H454">
        <v>976</v>
      </c>
      <c r="I454" t="s">
        <v>550</v>
      </c>
      <c r="J454" t="s">
        <v>25</v>
      </c>
      <c r="K454">
        <v>850</v>
      </c>
      <c r="L454" s="7">
        <f t="shared" si="14"/>
        <v>28304</v>
      </c>
      <c r="M454" s="7">
        <f>dataset!$L454-T454</f>
        <v>3654</v>
      </c>
      <c r="N454" s="7">
        <f>dataset!$M454/dataset!$L454*100</f>
        <v>12.909836065573771</v>
      </c>
      <c r="O454" s="25">
        <f>dataset!$K454*dataset!$G454</f>
        <v>24650</v>
      </c>
      <c r="P454"/>
      <c r="T454">
        <f>dataset!$K454*dataset!$G454</f>
        <v>24650</v>
      </c>
    </row>
    <row r="455" spans="1:20" x14ac:dyDescent="0.35">
      <c r="A455" s="2">
        <v>45838</v>
      </c>
      <c r="B455">
        <f t="shared" si="15"/>
        <v>30</v>
      </c>
      <c r="C455" t="s">
        <v>10</v>
      </c>
      <c r="D455" t="s">
        <v>46</v>
      </c>
      <c r="E455" t="s">
        <v>22</v>
      </c>
      <c r="F455" t="s">
        <v>40</v>
      </c>
      <c r="G455">
        <v>44</v>
      </c>
      <c r="H455">
        <v>939</v>
      </c>
      <c r="I455" t="s">
        <v>551</v>
      </c>
      <c r="J455" t="s">
        <v>15</v>
      </c>
      <c r="K455">
        <v>550</v>
      </c>
      <c r="L455" s="7">
        <f t="shared" si="14"/>
        <v>41316</v>
      </c>
      <c r="M455" s="7">
        <f>dataset!$L455-T455</f>
        <v>17116</v>
      </c>
      <c r="N455" s="7">
        <f>dataset!$M455/dataset!$L455*100</f>
        <v>41.427050053248138</v>
      </c>
      <c r="O455" s="25">
        <f>dataset!$K455*dataset!$G455</f>
        <v>24200</v>
      </c>
      <c r="P455"/>
      <c r="T455">
        <f>dataset!$K455*dataset!$G455</f>
        <v>24200</v>
      </c>
    </row>
    <row r="456" spans="1:20" x14ac:dyDescent="0.35">
      <c r="A456" s="2">
        <v>45834</v>
      </c>
      <c r="B456">
        <f t="shared" si="15"/>
        <v>26</v>
      </c>
      <c r="C456" t="s">
        <v>26</v>
      </c>
      <c r="D456" t="s">
        <v>11</v>
      </c>
      <c r="E456" t="s">
        <v>67</v>
      </c>
      <c r="F456" t="s">
        <v>23</v>
      </c>
      <c r="G456">
        <v>38</v>
      </c>
      <c r="H456">
        <v>2206</v>
      </c>
      <c r="I456" t="s">
        <v>552</v>
      </c>
      <c r="J456" t="s">
        <v>25</v>
      </c>
      <c r="K456">
        <v>1850</v>
      </c>
      <c r="L456" s="7">
        <f t="shared" si="14"/>
        <v>83828</v>
      </c>
      <c r="M456" s="7">
        <f>dataset!$L456-T456</f>
        <v>13528</v>
      </c>
      <c r="N456" s="7">
        <f>dataset!$M456/dataset!$L456*100</f>
        <v>16.13780598368087</v>
      </c>
      <c r="O456" s="25">
        <f>dataset!$K456*dataset!$G456</f>
        <v>70300</v>
      </c>
      <c r="P456"/>
      <c r="T456">
        <f>dataset!$K456*dataset!$G456</f>
        <v>70300</v>
      </c>
    </row>
    <row r="457" spans="1:20" x14ac:dyDescent="0.35">
      <c r="A457" s="2">
        <v>45815</v>
      </c>
      <c r="B457">
        <f t="shared" si="15"/>
        <v>7</v>
      </c>
      <c r="C457" t="s">
        <v>20</v>
      </c>
      <c r="D457" t="s">
        <v>33</v>
      </c>
      <c r="E457" t="s">
        <v>22</v>
      </c>
      <c r="F457" t="s">
        <v>47</v>
      </c>
      <c r="G457">
        <v>47</v>
      </c>
      <c r="H457">
        <v>2324</v>
      </c>
      <c r="I457" t="s">
        <v>553</v>
      </c>
      <c r="J457" t="s">
        <v>25</v>
      </c>
      <c r="K457">
        <v>1600</v>
      </c>
      <c r="L457" s="7">
        <f t="shared" si="14"/>
        <v>109228</v>
      </c>
      <c r="M457" s="7">
        <f>dataset!$L457-T457</f>
        <v>34028</v>
      </c>
      <c r="N457" s="7">
        <f>dataset!$M457/dataset!$L457*100</f>
        <v>31.153184165232357</v>
      </c>
      <c r="O457" s="25">
        <f>dataset!$K457*dataset!$G457</f>
        <v>75200</v>
      </c>
      <c r="P457"/>
      <c r="T457">
        <f>dataset!$K457*dataset!$G457</f>
        <v>75200</v>
      </c>
    </row>
    <row r="458" spans="1:20" x14ac:dyDescent="0.35">
      <c r="A458" s="2">
        <v>45822</v>
      </c>
      <c r="B458">
        <f t="shared" si="15"/>
        <v>14</v>
      </c>
      <c r="C458" t="s">
        <v>35</v>
      </c>
      <c r="D458" t="s">
        <v>46</v>
      </c>
      <c r="E458" t="s">
        <v>17</v>
      </c>
      <c r="F458" t="s">
        <v>23</v>
      </c>
      <c r="G458">
        <v>18</v>
      </c>
      <c r="H458">
        <v>2319</v>
      </c>
      <c r="I458" t="s">
        <v>95</v>
      </c>
      <c r="J458" t="s">
        <v>25</v>
      </c>
      <c r="K458">
        <v>1600</v>
      </c>
      <c r="L458" s="7">
        <f t="shared" si="14"/>
        <v>41742</v>
      </c>
      <c r="M458" s="7">
        <f>dataset!$L458-T458</f>
        <v>12942</v>
      </c>
      <c r="N458" s="7">
        <f>dataset!$M458/dataset!$L458*100</f>
        <v>31.004743423889607</v>
      </c>
      <c r="O458" s="25">
        <f>dataset!$K458*dataset!$G458</f>
        <v>28800</v>
      </c>
      <c r="P458"/>
      <c r="T458">
        <f>dataset!$K458*dataset!$G458</f>
        <v>28800</v>
      </c>
    </row>
    <row r="459" spans="1:20" x14ac:dyDescent="0.35">
      <c r="A459" s="2">
        <v>45815</v>
      </c>
      <c r="B459">
        <f t="shared" si="15"/>
        <v>7</v>
      </c>
      <c r="C459" t="s">
        <v>20</v>
      </c>
      <c r="D459" t="s">
        <v>27</v>
      </c>
      <c r="E459" t="s">
        <v>64</v>
      </c>
      <c r="F459" t="s">
        <v>59</v>
      </c>
      <c r="G459">
        <v>35</v>
      </c>
      <c r="H459">
        <v>2471</v>
      </c>
      <c r="I459" t="s">
        <v>554</v>
      </c>
      <c r="J459" t="s">
        <v>15</v>
      </c>
      <c r="K459">
        <v>1750</v>
      </c>
      <c r="L459" s="7">
        <f t="shared" si="14"/>
        <v>86485</v>
      </c>
      <c r="M459" s="7">
        <f>dataset!$L459-T459</f>
        <v>25235</v>
      </c>
      <c r="N459" s="7">
        <f>dataset!$M459/dataset!$L459*100</f>
        <v>29.178470254957507</v>
      </c>
      <c r="O459" s="25">
        <f>dataset!$K459*dataset!$G459</f>
        <v>61250</v>
      </c>
      <c r="P459"/>
      <c r="T459">
        <f>dataset!$K459*dataset!$G459</f>
        <v>61250</v>
      </c>
    </row>
    <row r="460" spans="1:20" x14ac:dyDescent="0.35">
      <c r="A460" s="2">
        <v>45827</v>
      </c>
      <c r="B460">
        <f t="shared" si="15"/>
        <v>19</v>
      </c>
      <c r="C460" t="s">
        <v>29</v>
      </c>
      <c r="D460" t="s">
        <v>27</v>
      </c>
      <c r="E460" t="s">
        <v>64</v>
      </c>
      <c r="F460" t="s">
        <v>23</v>
      </c>
      <c r="G460">
        <v>12</v>
      </c>
      <c r="H460">
        <v>2050</v>
      </c>
      <c r="I460" t="s">
        <v>555</v>
      </c>
      <c r="J460" t="s">
        <v>25</v>
      </c>
      <c r="K460">
        <v>1150</v>
      </c>
      <c r="L460" s="7">
        <f t="shared" si="14"/>
        <v>24600</v>
      </c>
      <c r="M460" s="7">
        <f>dataset!$L460-T460</f>
        <v>10800</v>
      </c>
      <c r="N460" s="7">
        <f>dataset!$M460/dataset!$L460*100</f>
        <v>43.902439024390247</v>
      </c>
      <c r="O460" s="25">
        <f>dataset!$K460*dataset!$G460</f>
        <v>13800</v>
      </c>
      <c r="P460"/>
      <c r="T460">
        <f>dataset!$K460*dataset!$G460</f>
        <v>13800</v>
      </c>
    </row>
    <row r="461" spans="1:20" x14ac:dyDescent="0.35">
      <c r="A461" s="2">
        <v>45795</v>
      </c>
      <c r="B461">
        <f t="shared" si="15"/>
        <v>18</v>
      </c>
      <c r="C461" t="s">
        <v>26</v>
      </c>
      <c r="D461" t="s">
        <v>16</v>
      </c>
      <c r="E461" t="s">
        <v>17</v>
      </c>
      <c r="F461" t="s">
        <v>47</v>
      </c>
      <c r="G461">
        <v>27</v>
      </c>
      <c r="H461">
        <v>1120</v>
      </c>
      <c r="I461" t="s">
        <v>556</v>
      </c>
      <c r="J461" t="s">
        <v>15</v>
      </c>
      <c r="K461">
        <v>900</v>
      </c>
      <c r="L461" s="7">
        <f t="shared" si="14"/>
        <v>30240</v>
      </c>
      <c r="M461" s="7">
        <f>dataset!$L461-T461</f>
        <v>5940</v>
      </c>
      <c r="N461" s="7">
        <f>dataset!$M461/dataset!$L461*100</f>
        <v>19.642857142857142</v>
      </c>
      <c r="O461" s="25">
        <f>dataset!$K461*dataset!$G461</f>
        <v>24300</v>
      </c>
      <c r="P461"/>
      <c r="T461">
        <f>dataset!$K461*dataset!$G461</f>
        <v>24300</v>
      </c>
    </row>
    <row r="462" spans="1:20" x14ac:dyDescent="0.35">
      <c r="A462" s="2">
        <v>45778</v>
      </c>
      <c r="B462">
        <f t="shared" si="15"/>
        <v>1</v>
      </c>
      <c r="C462" t="s">
        <v>20</v>
      </c>
      <c r="D462" t="s">
        <v>33</v>
      </c>
      <c r="E462" t="s">
        <v>22</v>
      </c>
      <c r="F462" t="s">
        <v>59</v>
      </c>
      <c r="G462">
        <v>29</v>
      </c>
      <c r="H462">
        <v>324</v>
      </c>
      <c r="I462" t="s">
        <v>557</v>
      </c>
      <c r="J462" t="s">
        <v>15</v>
      </c>
      <c r="K462">
        <v>200</v>
      </c>
      <c r="L462" s="7">
        <f t="shared" si="14"/>
        <v>9396</v>
      </c>
      <c r="M462" s="7">
        <f>dataset!$L462-T462</f>
        <v>3596</v>
      </c>
      <c r="N462" s="7">
        <f>dataset!$M462/dataset!$L462*100</f>
        <v>38.271604938271601</v>
      </c>
      <c r="O462" s="25">
        <f>dataset!$K462*dataset!$G462</f>
        <v>5800</v>
      </c>
      <c r="P462"/>
      <c r="T462">
        <f>dataset!$K462*dataset!$G462</f>
        <v>5800</v>
      </c>
    </row>
    <row r="463" spans="1:20" x14ac:dyDescent="0.35">
      <c r="A463" s="2">
        <v>45793</v>
      </c>
      <c r="B463">
        <f t="shared" si="15"/>
        <v>16</v>
      </c>
      <c r="C463" t="s">
        <v>29</v>
      </c>
      <c r="D463" t="s">
        <v>21</v>
      </c>
      <c r="E463" t="s">
        <v>64</v>
      </c>
      <c r="F463" t="s">
        <v>13</v>
      </c>
      <c r="G463">
        <v>23</v>
      </c>
      <c r="H463">
        <v>446</v>
      </c>
      <c r="I463" t="s">
        <v>558</v>
      </c>
      <c r="J463" t="s">
        <v>15</v>
      </c>
      <c r="K463">
        <v>300</v>
      </c>
      <c r="L463" s="7">
        <f t="shared" si="14"/>
        <v>10258</v>
      </c>
      <c r="M463" s="7">
        <f>dataset!$L463-T463</f>
        <v>3358</v>
      </c>
      <c r="N463" s="7">
        <f>dataset!$M463/dataset!$L463*100</f>
        <v>32.735426008968609</v>
      </c>
      <c r="O463" s="25">
        <f>dataset!$K463*dataset!$G463</f>
        <v>6900</v>
      </c>
      <c r="P463"/>
      <c r="T463">
        <f>dataset!$K463*dataset!$G463</f>
        <v>6900</v>
      </c>
    </row>
    <row r="464" spans="1:20" x14ac:dyDescent="0.35">
      <c r="A464" s="2">
        <v>45769</v>
      </c>
      <c r="B464">
        <f t="shared" si="15"/>
        <v>22</v>
      </c>
      <c r="C464" t="s">
        <v>10</v>
      </c>
      <c r="D464" t="s">
        <v>36</v>
      </c>
      <c r="E464" t="s">
        <v>54</v>
      </c>
      <c r="F464" t="s">
        <v>31</v>
      </c>
      <c r="G464">
        <v>42</v>
      </c>
      <c r="H464">
        <v>1080</v>
      </c>
      <c r="I464" t="s">
        <v>559</v>
      </c>
      <c r="J464" t="s">
        <v>15</v>
      </c>
      <c r="K464">
        <v>600</v>
      </c>
      <c r="L464" s="7">
        <f t="shared" si="14"/>
        <v>45360</v>
      </c>
      <c r="M464" s="7">
        <f>dataset!$L464-T464</f>
        <v>20160</v>
      </c>
      <c r="N464" s="7">
        <f>dataset!$M464/dataset!$L464*100</f>
        <v>44.444444444444443</v>
      </c>
      <c r="O464" s="25">
        <f>dataset!$K464*dataset!$G464</f>
        <v>25200</v>
      </c>
      <c r="P464"/>
      <c r="T464">
        <f>dataset!$K464*dataset!$G464</f>
        <v>25200</v>
      </c>
    </row>
    <row r="465" spans="1:20" x14ac:dyDescent="0.35">
      <c r="A465" s="2">
        <v>45826</v>
      </c>
      <c r="B465">
        <f t="shared" si="15"/>
        <v>18</v>
      </c>
      <c r="C465" t="s">
        <v>10</v>
      </c>
      <c r="D465" t="s">
        <v>16</v>
      </c>
      <c r="E465" t="s">
        <v>54</v>
      </c>
      <c r="F465" t="s">
        <v>40</v>
      </c>
      <c r="G465">
        <v>28</v>
      </c>
      <c r="H465">
        <v>2015</v>
      </c>
      <c r="I465" t="s">
        <v>560</v>
      </c>
      <c r="J465" t="s">
        <v>15</v>
      </c>
      <c r="K465">
        <v>1700</v>
      </c>
      <c r="L465" s="7">
        <f t="shared" si="14"/>
        <v>56420</v>
      </c>
      <c r="M465" s="7">
        <f>dataset!$L465-T465</f>
        <v>8820</v>
      </c>
      <c r="N465" s="7">
        <f>dataset!$M465/dataset!$L465*100</f>
        <v>15.632754342431761</v>
      </c>
      <c r="O465" s="25">
        <f>dataset!$K465*dataset!$G465</f>
        <v>47600</v>
      </c>
      <c r="P465"/>
      <c r="T465">
        <f>dataset!$K465*dataset!$G465</f>
        <v>47600</v>
      </c>
    </row>
    <row r="466" spans="1:20" x14ac:dyDescent="0.35">
      <c r="A466" s="2">
        <v>45812</v>
      </c>
      <c r="B466">
        <f t="shared" si="15"/>
        <v>4</v>
      </c>
      <c r="C466" t="s">
        <v>35</v>
      </c>
      <c r="D466" t="s">
        <v>21</v>
      </c>
      <c r="E466" t="s">
        <v>67</v>
      </c>
      <c r="F466" t="s">
        <v>59</v>
      </c>
      <c r="G466">
        <v>35</v>
      </c>
      <c r="H466">
        <v>1892</v>
      </c>
      <c r="I466" t="s">
        <v>561</v>
      </c>
      <c r="J466" t="s">
        <v>25</v>
      </c>
      <c r="K466">
        <v>1150</v>
      </c>
      <c r="L466" s="7">
        <f t="shared" si="14"/>
        <v>66220</v>
      </c>
      <c r="M466" s="7">
        <f>dataset!$L466-T466</f>
        <v>25970</v>
      </c>
      <c r="N466" s="7">
        <f>dataset!$M466/dataset!$L466*100</f>
        <v>39.217758985200845</v>
      </c>
      <c r="O466" s="25">
        <f>dataset!$K466*dataset!$G466</f>
        <v>40250</v>
      </c>
      <c r="P466"/>
      <c r="T466">
        <f>dataset!$K466*dataset!$G466</f>
        <v>40250</v>
      </c>
    </row>
    <row r="467" spans="1:20" x14ac:dyDescent="0.35">
      <c r="A467" s="2">
        <v>45790</v>
      </c>
      <c r="B467">
        <f t="shared" si="15"/>
        <v>13</v>
      </c>
      <c r="C467" t="s">
        <v>10</v>
      </c>
      <c r="D467" t="s">
        <v>16</v>
      </c>
      <c r="E467" t="s">
        <v>12</v>
      </c>
      <c r="F467" t="s">
        <v>37</v>
      </c>
      <c r="G467">
        <v>28</v>
      </c>
      <c r="H467">
        <v>1459</v>
      </c>
      <c r="I467" t="s">
        <v>562</v>
      </c>
      <c r="J467" t="s">
        <v>25</v>
      </c>
      <c r="K467">
        <v>900</v>
      </c>
      <c r="L467" s="7">
        <f t="shared" si="14"/>
        <v>40852</v>
      </c>
      <c r="M467" s="7">
        <f>dataset!$L467-T467</f>
        <v>15652</v>
      </c>
      <c r="N467" s="7">
        <f>dataset!$M467/dataset!$L467*100</f>
        <v>38.313913639479097</v>
      </c>
      <c r="O467" s="25">
        <f>dataset!$K467*dataset!$G467</f>
        <v>25200</v>
      </c>
      <c r="P467"/>
      <c r="T467">
        <f>dataset!$K467*dataset!$G467</f>
        <v>25200</v>
      </c>
    </row>
    <row r="468" spans="1:20" x14ac:dyDescent="0.35">
      <c r="A468" s="2">
        <v>45799</v>
      </c>
      <c r="B468">
        <f t="shared" si="15"/>
        <v>22</v>
      </c>
      <c r="C468" t="s">
        <v>20</v>
      </c>
      <c r="D468" t="s">
        <v>66</v>
      </c>
      <c r="E468" t="s">
        <v>22</v>
      </c>
      <c r="F468" t="s">
        <v>52</v>
      </c>
      <c r="G468">
        <v>28</v>
      </c>
      <c r="H468">
        <v>2187</v>
      </c>
      <c r="I468" t="s">
        <v>563</v>
      </c>
      <c r="J468" t="s">
        <v>25</v>
      </c>
      <c r="K468">
        <v>1650</v>
      </c>
      <c r="L468" s="7">
        <f t="shared" si="14"/>
        <v>61236</v>
      </c>
      <c r="M468" s="7">
        <f>dataset!$L468-T468</f>
        <v>15036</v>
      </c>
      <c r="N468" s="7">
        <f>dataset!$M468/dataset!$L468*100</f>
        <v>24.554183813443071</v>
      </c>
      <c r="O468" s="25">
        <f>dataset!$K468*dataset!$G468</f>
        <v>46200</v>
      </c>
      <c r="P468"/>
      <c r="T468">
        <f>dataset!$K468*dataset!$G468</f>
        <v>46200</v>
      </c>
    </row>
    <row r="469" spans="1:20" x14ac:dyDescent="0.35">
      <c r="A469" s="2">
        <v>45778</v>
      </c>
      <c r="B469">
        <f t="shared" si="15"/>
        <v>1</v>
      </c>
      <c r="C469" t="s">
        <v>35</v>
      </c>
      <c r="D469" t="s">
        <v>66</v>
      </c>
      <c r="E469" t="s">
        <v>22</v>
      </c>
      <c r="F469" t="s">
        <v>37</v>
      </c>
      <c r="G469">
        <v>46</v>
      </c>
      <c r="H469">
        <v>1005</v>
      </c>
      <c r="I469" t="s">
        <v>96</v>
      </c>
      <c r="J469" t="s">
        <v>25</v>
      </c>
      <c r="K469">
        <v>700</v>
      </c>
      <c r="L469" s="7">
        <f t="shared" si="14"/>
        <v>46230</v>
      </c>
      <c r="M469" s="7">
        <f>dataset!$L469-T469</f>
        <v>14030</v>
      </c>
      <c r="N469" s="7">
        <f>dataset!$M469/dataset!$L469*100</f>
        <v>30.348258706467661</v>
      </c>
      <c r="O469" s="25">
        <f>dataset!$K469*dataset!$G469</f>
        <v>32200</v>
      </c>
      <c r="P469"/>
      <c r="T469">
        <f>dataset!$K469*dataset!$G469</f>
        <v>32200</v>
      </c>
    </row>
    <row r="470" spans="1:20" x14ac:dyDescent="0.35">
      <c r="A470" s="2">
        <v>45760</v>
      </c>
      <c r="B470">
        <f t="shared" si="15"/>
        <v>13</v>
      </c>
      <c r="C470" t="s">
        <v>29</v>
      </c>
      <c r="D470" t="s">
        <v>11</v>
      </c>
      <c r="E470" t="s">
        <v>42</v>
      </c>
      <c r="F470" t="s">
        <v>18</v>
      </c>
      <c r="G470">
        <v>18</v>
      </c>
      <c r="H470">
        <v>1400</v>
      </c>
      <c r="I470" t="s">
        <v>564</v>
      </c>
      <c r="J470" t="s">
        <v>25</v>
      </c>
      <c r="K470">
        <v>1050</v>
      </c>
      <c r="L470" s="7">
        <f t="shared" si="14"/>
        <v>25200</v>
      </c>
      <c r="M470" s="7">
        <f>dataset!$L470-T470</f>
        <v>6300</v>
      </c>
      <c r="N470" s="7">
        <f>dataset!$M470/dataset!$L470*100</f>
        <v>25</v>
      </c>
      <c r="O470" s="25">
        <f>dataset!$K470*dataset!$G470</f>
        <v>18900</v>
      </c>
      <c r="P470"/>
      <c r="T470">
        <f>dataset!$K470*dataset!$G470</f>
        <v>18900</v>
      </c>
    </row>
    <row r="471" spans="1:20" x14ac:dyDescent="0.35">
      <c r="A471" s="2">
        <v>45786</v>
      </c>
      <c r="B471">
        <f t="shared" si="15"/>
        <v>9</v>
      </c>
      <c r="C471" t="s">
        <v>20</v>
      </c>
      <c r="D471" t="s">
        <v>33</v>
      </c>
      <c r="E471" t="s">
        <v>54</v>
      </c>
      <c r="F471" t="s">
        <v>18</v>
      </c>
      <c r="G471">
        <v>50</v>
      </c>
      <c r="H471">
        <v>1089</v>
      </c>
      <c r="I471" t="s">
        <v>565</v>
      </c>
      <c r="J471" t="s">
        <v>15</v>
      </c>
      <c r="K471">
        <v>950</v>
      </c>
      <c r="L471" s="7">
        <f t="shared" si="14"/>
        <v>54450</v>
      </c>
      <c r="M471" s="7">
        <f>dataset!$L471-T471</f>
        <v>6950</v>
      </c>
      <c r="N471" s="7">
        <f>dataset!$M471/dataset!$L471*100</f>
        <v>12.764003673094582</v>
      </c>
      <c r="O471" s="25">
        <f>dataset!$K471*dataset!$G471</f>
        <v>47500</v>
      </c>
      <c r="P471"/>
      <c r="T471">
        <f>dataset!$K471*dataset!$G471</f>
        <v>47500</v>
      </c>
    </row>
    <row r="472" spans="1:20" x14ac:dyDescent="0.35">
      <c r="A472" s="2">
        <v>45783</v>
      </c>
      <c r="B472">
        <f t="shared" si="15"/>
        <v>6</v>
      </c>
      <c r="C472" t="s">
        <v>20</v>
      </c>
      <c r="D472" t="s">
        <v>27</v>
      </c>
      <c r="E472" t="s">
        <v>30</v>
      </c>
      <c r="F472" t="s">
        <v>56</v>
      </c>
      <c r="G472">
        <v>11</v>
      </c>
      <c r="H472">
        <v>2612</v>
      </c>
      <c r="I472" t="s">
        <v>566</v>
      </c>
      <c r="J472" t="s">
        <v>15</v>
      </c>
      <c r="K472">
        <v>1900</v>
      </c>
      <c r="L472" s="7">
        <f t="shared" si="14"/>
        <v>28732</v>
      </c>
      <c r="M472" s="7">
        <f>dataset!$L472-T472</f>
        <v>7832</v>
      </c>
      <c r="N472" s="7">
        <f>dataset!$M472/dataset!$L472*100</f>
        <v>27.258805513016842</v>
      </c>
      <c r="O472" s="25">
        <f>dataset!$K472*dataset!$G472</f>
        <v>20900</v>
      </c>
      <c r="P472"/>
      <c r="T472">
        <f>dataset!$K472*dataset!$G472</f>
        <v>20900</v>
      </c>
    </row>
    <row r="473" spans="1:20" x14ac:dyDescent="0.35">
      <c r="A473" s="2">
        <v>45753</v>
      </c>
      <c r="B473">
        <f t="shared" si="15"/>
        <v>6</v>
      </c>
      <c r="C473" t="s">
        <v>35</v>
      </c>
      <c r="D473" t="s">
        <v>27</v>
      </c>
      <c r="E473" t="s">
        <v>67</v>
      </c>
      <c r="F473" t="s">
        <v>52</v>
      </c>
      <c r="G473">
        <v>40</v>
      </c>
      <c r="H473">
        <v>339</v>
      </c>
      <c r="I473" t="s">
        <v>567</v>
      </c>
      <c r="J473" t="s">
        <v>15</v>
      </c>
      <c r="K473">
        <v>300</v>
      </c>
      <c r="L473" s="7">
        <f t="shared" si="14"/>
        <v>13560</v>
      </c>
      <c r="M473" s="7">
        <f>dataset!$L473-T473</f>
        <v>1560</v>
      </c>
      <c r="N473" s="7">
        <f>dataset!$M473/dataset!$L473*100</f>
        <v>11.504424778761061</v>
      </c>
      <c r="O473" s="25">
        <f>dataset!$K473*dataset!$G473</f>
        <v>12000</v>
      </c>
      <c r="P473"/>
      <c r="T473">
        <f>dataset!$K473*dataset!$G473</f>
        <v>12000</v>
      </c>
    </row>
    <row r="474" spans="1:20" x14ac:dyDescent="0.35">
      <c r="A474" s="2">
        <v>45750</v>
      </c>
      <c r="B474">
        <f t="shared" si="15"/>
        <v>3</v>
      </c>
      <c r="C474" t="s">
        <v>35</v>
      </c>
      <c r="D474" t="s">
        <v>21</v>
      </c>
      <c r="E474" t="s">
        <v>30</v>
      </c>
      <c r="F474" t="s">
        <v>56</v>
      </c>
      <c r="G474">
        <v>14</v>
      </c>
      <c r="H474">
        <v>1438</v>
      </c>
      <c r="I474" t="s">
        <v>568</v>
      </c>
      <c r="J474" t="s">
        <v>15</v>
      </c>
      <c r="K474">
        <v>1150</v>
      </c>
      <c r="L474" s="7">
        <f t="shared" si="14"/>
        <v>20132</v>
      </c>
      <c r="M474" s="7">
        <f>dataset!$L474-T474</f>
        <v>4032</v>
      </c>
      <c r="N474" s="7">
        <f>dataset!$M474/dataset!$L474*100</f>
        <v>20.027816411682892</v>
      </c>
      <c r="O474" s="25">
        <f>dataset!$K474*dataset!$G474</f>
        <v>16100</v>
      </c>
      <c r="P474"/>
      <c r="T474">
        <f>dataset!$K474*dataset!$G474</f>
        <v>16100</v>
      </c>
    </row>
    <row r="475" spans="1:20" x14ac:dyDescent="0.35">
      <c r="A475" s="2">
        <v>45769</v>
      </c>
      <c r="B475">
        <f t="shared" si="15"/>
        <v>22</v>
      </c>
      <c r="C475" t="s">
        <v>35</v>
      </c>
      <c r="D475" t="s">
        <v>16</v>
      </c>
      <c r="E475" t="s">
        <v>12</v>
      </c>
      <c r="F475" t="s">
        <v>40</v>
      </c>
      <c r="G475">
        <v>24</v>
      </c>
      <c r="H475">
        <v>1021</v>
      </c>
      <c r="I475" t="s">
        <v>569</v>
      </c>
      <c r="J475" t="s">
        <v>15</v>
      </c>
      <c r="K475">
        <v>800</v>
      </c>
      <c r="L475" s="7">
        <f t="shared" si="14"/>
        <v>24504</v>
      </c>
      <c r="M475" s="7">
        <f>dataset!$L475-T475</f>
        <v>5304</v>
      </c>
      <c r="N475" s="7">
        <f>dataset!$M475/dataset!$L475*100</f>
        <v>21.645445641527914</v>
      </c>
      <c r="O475" s="25">
        <f>dataset!$K475*dataset!$G475</f>
        <v>19200</v>
      </c>
      <c r="P475"/>
      <c r="T475">
        <f>dataset!$K475*dataset!$G475</f>
        <v>19200</v>
      </c>
    </row>
    <row r="476" spans="1:20" x14ac:dyDescent="0.35">
      <c r="A476" s="2">
        <v>45766</v>
      </c>
      <c r="B476">
        <f t="shared" si="15"/>
        <v>19</v>
      </c>
      <c r="C476" t="s">
        <v>29</v>
      </c>
      <c r="D476" t="s">
        <v>21</v>
      </c>
      <c r="E476" t="s">
        <v>22</v>
      </c>
      <c r="F476" t="s">
        <v>13</v>
      </c>
      <c r="G476">
        <v>21</v>
      </c>
      <c r="H476">
        <v>1281</v>
      </c>
      <c r="I476" t="s">
        <v>570</v>
      </c>
      <c r="J476" t="s">
        <v>15</v>
      </c>
      <c r="K476">
        <v>1050</v>
      </c>
      <c r="L476" s="7">
        <f t="shared" si="14"/>
        <v>26901</v>
      </c>
      <c r="M476" s="7">
        <f>dataset!$L476-T476</f>
        <v>4851</v>
      </c>
      <c r="N476" s="7">
        <f>dataset!$M476/dataset!$L476*100</f>
        <v>18.032786885245901</v>
      </c>
      <c r="O476" s="25">
        <f>dataset!$K476*dataset!$G476</f>
        <v>22050</v>
      </c>
      <c r="P476"/>
      <c r="T476">
        <f>dataset!$K476*dataset!$G476</f>
        <v>22050</v>
      </c>
    </row>
    <row r="477" spans="1:20" x14ac:dyDescent="0.35">
      <c r="A477" s="2">
        <v>45829</v>
      </c>
      <c r="B477">
        <f t="shared" si="15"/>
        <v>21</v>
      </c>
      <c r="C477" t="s">
        <v>35</v>
      </c>
      <c r="D477" t="s">
        <v>36</v>
      </c>
      <c r="E477" t="s">
        <v>75</v>
      </c>
      <c r="F477" t="s">
        <v>23</v>
      </c>
      <c r="G477">
        <v>24</v>
      </c>
      <c r="H477">
        <v>1757</v>
      </c>
      <c r="I477" t="s">
        <v>571</v>
      </c>
      <c r="J477" t="s">
        <v>25</v>
      </c>
      <c r="K477">
        <v>1450</v>
      </c>
      <c r="L477" s="7">
        <f t="shared" si="14"/>
        <v>42168</v>
      </c>
      <c r="M477" s="7">
        <f>dataset!$L477-T477</f>
        <v>7368</v>
      </c>
      <c r="N477" s="7">
        <f>dataset!$M477/dataset!$L477*100</f>
        <v>17.472965281730222</v>
      </c>
      <c r="O477" s="25">
        <f>dataset!$K477*dataset!$G477</f>
        <v>34800</v>
      </c>
      <c r="P477"/>
      <c r="T477">
        <f>dataset!$K477*dataset!$G477</f>
        <v>34800</v>
      </c>
    </row>
    <row r="478" spans="1:20" x14ac:dyDescent="0.35">
      <c r="A478" s="2">
        <v>45837</v>
      </c>
      <c r="B478">
        <f t="shared" si="15"/>
        <v>29</v>
      </c>
      <c r="C478" t="s">
        <v>35</v>
      </c>
      <c r="D478" t="s">
        <v>66</v>
      </c>
      <c r="E478" t="s">
        <v>67</v>
      </c>
      <c r="F478" t="s">
        <v>31</v>
      </c>
      <c r="G478">
        <v>12</v>
      </c>
      <c r="H478">
        <v>1382</v>
      </c>
      <c r="I478" t="s">
        <v>572</v>
      </c>
      <c r="J478" t="s">
        <v>15</v>
      </c>
      <c r="K478">
        <v>1100</v>
      </c>
      <c r="L478" s="7">
        <f t="shared" si="14"/>
        <v>16584</v>
      </c>
      <c r="M478" s="7">
        <f>dataset!$L478-T478</f>
        <v>3384</v>
      </c>
      <c r="N478" s="7">
        <f>dataset!$M478/dataset!$L478*100</f>
        <v>20.405209840810421</v>
      </c>
      <c r="O478" s="25">
        <f>dataset!$K478*dataset!$G478</f>
        <v>13200</v>
      </c>
      <c r="P478"/>
      <c r="T478">
        <f>dataset!$K478*dataset!$G478</f>
        <v>13200</v>
      </c>
    </row>
    <row r="479" spans="1:20" x14ac:dyDescent="0.35">
      <c r="A479" s="2">
        <v>45815</v>
      </c>
      <c r="B479">
        <f t="shared" si="15"/>
        <v>7</v>
      </c>
      <c r="C479" t="s">
        <v>20</v>
      </c>
      <c r="D479" t="s">
        <v>16</v>
      </c>
      <c r="E479" t="s">
        <v>22</v>
      </c>
      <c r="F479" t="s">
        <v>47</v>
      </c>
      <c r="G479">
        <v>50</v>
      </c>
      <c r="H479">
        <v>2289</v>
      </c>
      <c r="I479" t="s">
        <v>573</v>
      </c>
      <c r="J479" t="s">
        <v>15</v>
      </c>
      <c r="K479">
        <v>1500</v>
      </c>
      <c r="L479" s="7">
        <f t="shared" si="14"/>
        <v>114450</v>
      </c>
      <c r="M479" s="7">
        <f>dataset!$L479-T479</f>
        <v>39450</v>
      </c>
      <c r="N479" s="7">
        <f>dataset!$M479/dataset!$L479*100</f>
        <v>34.469200524246396</v>
      </c>
      <c r="O479" s="25">
        <f>dataset!$K479*dataset!$G479</f>
        <v>75000</v>
      </c>
      <c r="P479"/>
      <c r="T479">
        <f>dataset!$K479*dataset!$G479</f>
        <v>75000</v>
      </c>
    </row>
    <row r="480" spans="1:20" x14ac:dyDescent="0.35">
      <c r="A480" s="2">
        <v>45798</v>
      </c>
      <c r="B480">
        <f t="shared" si="15"/>
        <v>21</v>
      </c>
      <c r="C480" t="s">
        <v>26</v>
      </c>
      <c r="D480" t="s">
        <v>36</v>
      </c>
      <c r="E480" t="s">
        <v>22</v>
      </c>
      <c r="F480" t="s">
        <v>23</v>
      </c>
      <c r="G480">
        <v>16</v>
      </c>
      <c r="H480">
        <v>1519</v>
      </c>
      <c r="I480" t="s">
        <v>97</v>
      </c>
      <c r="J480" t="s">
        <v>15</v>
      </c>
      <c r="K480">
        <v>1250</v>
      </c>
      <c r="L480" s="7">
        <f t="shared" si="14"/>
        <v>24304</v>
      </c>
      <c r="M480" s="7">
        <f>dataset!$L480-T480</f>
        <v>4304</v>
      </c>
      <c r="N480" s="7">
        <f>dataset!$M480/dataset!$L480*100</f>
        <v>17.709019091507571</v>
      </c>
      <c r="O480" s="25">
        <f>dataset!$K480*dataset!$G480</f>
        <v>20000</v>
      </c>
      <c r="P480"/>
      <c r="T480">
        <f>dataset!$K480*dataset!$G480</f>
        <v>20000</v>
      </c>
    </row>
    <row r="481" spans="1:20" x14ac:dyDescent="0.35">
      <c r="A481" s="2">
        <v>45797</v>
      </c>
      <c r="B481">
        <f t="shared" si="15"/>
        <v>20</v>
      </c>
      <c r="C481" t="s">
        <v>29</v>
      </c>
      <c r="D481" t="s">
        <v>46</v>
      </c>
      <c r="E481" t="s">
        <v>64</v>
      </c>
      <c r="F481" t="s">
        <v>52</v>
      </c>
      <c r="G481">
        <v>15</v>
      </c>
      <c r="H481">
        <v>383</v>
      </c>
      <c r="I481" t="s">
        <v>574</v>
      </c>
      <c r="J481" t="s">
        <v>15</v>
      </c>
      <c r="K481">
        <v>300</v>
      </c>
      <c r="L481" s="7">
        <f t="shared" si="14"/>
        <v>5745</v>
      </c>
      <c r="M481" s="7">
        <f>dataset!$L481-T481</f>
        <v>1245</v>
      </c>
      <c r="N481" s="7">
        <f>dataset!$M481/dataset!$L481*100</f>
        <v>21.671018276762403</v>
      </c>
      <c r="O481" s="25">
        <f>dataset!$K481*dataset!$G481</f>
        <v>4500</v>
      </c>
      <c r="P481"/>
      <c r="T481">
        <f>dataset!$K481*dataset!$G481</f>
        <v>4500</v>
      </c>
    </row>
    <row r="482" spans="1:20" x14ac:dyDescent="0.35">
      <c r="A482" s="2">
        <v>45779</v>
      </c>
      <c r="B482">
        <f t="shared" si="15"/>
        <v>2</v>
      </c>
      <c r="C482" t="s">
        <v>29</v>
      </c>
      <c r="D482" t="s">
        <v>16</v>
      </c>
      <c r="E482" t="s">
        <v>42</v>
      </c>
      <c r="F482" t="s">
        <v>52</v>
      </c>
      <c r="G482">
        <v>36</v>
      </c>
      <c r="H482">
        <v>989</v>
      </c>
      <c r="I482" t="s">
        <v>575</v>
      </c>
      <c r="J482" t="s">
        <v>25</v>
      </c>
      <c r="K482">
        <v>650</v>
      </c>
      <c r="L482" s="7">
        <f t="shared" si="14"/>
        <v>35604</v>
      </c>
      <c r="M482" s="7">
        <f>dataset!$L482-T482</f>
        <v>12204</v>
      </c>
      <c r="N482" s="7">
        <f>dataset!$M482/dataset!$L482*100</f>
        <v>34.277047522750252</v>
      </c>
      <c r="O482" s="25">
        <f>dataset!$K482*dataset!$G482</f>
        <v>23400</v>
      </c>
      <c r="P482"/>
      <c r="T482">
        <f>dataset!$K482*dataset!$G482</f>
        <v>23400</v>
      </c>
    </row>
    <row r="483" spans="1:20" x14ac:dyDescent="0.35">
      <c r="A483" s="2">
        <v>45835</v>
      </c>
      <c r="B483">
        <f t="shared" si="15"/>
        <v>27</v>
      </c>
      <c r="C483" t="s">
        <v>20</v>
      </c>
      <c r="D483" t="s">
        <v>46</v>
      </c>
      <c r="E483" t="s">
        <v>67</v>
      </c>
      <c r="F483" t="s">
        <v>31</v>
      </c>
      <c r="G483">
        <v>23</v>
      </c>
      <c r="H483">
        <v>1938</v>
      </c>
      <c r="I483" t="s">
        <v>576</v>
      </c>
      <c r="J483" t="s">
        <v>15</v>
      </c>
      <c r="K483">
        <v>1550</v>
      </c>
      <c r="L483" s="7">
        <f t="shared" si="14"/>
        <v>44574</v>
      </c>
      <c r="M483" s="7">
        <f>dataset!$L483-T483</f>
        <v>8924</v>
      </c>
      <c r="N483" s="7">
        <f>dataset!$M483/dataset!$L483*100</f>
        <v>20.020639834881322</v>
      </c>
      <c r="O483" s="25">
        <f>dataset!$K483*dataset!$G483</f>
        <v>35650</v>
      </c>
      <c r="P483"/>
      <c r="T483">
        <f>dataset!$K483*dataset!$G483</f>
        <v>35650</v>
      </c>
    </row>
    <row r="484" spans="1:20" x14ac:dyDescent="0.35">
      <c r="A484" s="2">
        <v>45819</v>
      </c>
      <c r="B484">
        <f t="shared" si="15"/>
        <v>11</v>
      </c>
      <c r="C484" t="s">
        <v>35</v>
      </c>
      <c r="D484" t="s">
        <v>33</v>
      </c>
      <c r="E484" t="s">
        <v>64</v>
      </c>
      <c r="F484" t="s">
        <v>37</v>
      </c>
      <c r="G484">
        <v>45</v>
      </c>
      <c r="H484">
        <v>2281</v>
      </c>
      <c r="I484" t="s">
        <v>577</v>
      </c>
      <c r="J484" t="s">
        <v>15</v>
      </c>
      <c r="K484">
        <v>1850</v>
      </c>
      <c r="L484" s="7">
        <f t="shared" si="14"/>
        <v>102645</v>
      </c>
      <c r="M484" s="7">
        <f>dataset!$L484-T484</f>
        <v>19395</v>
      </c>
      <c r="N484" s="7">
        <f>dataset!$M484/dataset!$L484*100</f>
        <v>18.895221394125382</v>
      </c>
      <c r="O484" s="25">
        <f>dataset!$K484*dataset!$G484</f>
        <v>83250</v>
      </c>
      <c r="P484"/>
      <c r="T484">
        <f>dataset!$K484*dataset!$G484</f>
        <v>83250</v>
      </c>
    </row>
    <row r="485" spans="1:20" x14ac:dyDescent="0.35">
      <c r="A485" s="2">
        <v>45812</v>
      </c>
      <c r="B485">
        <f t="shared" si="15"/>
        <v>4</v>
      </c>
      <c r="C485" t="s">
        <v>29</v>
      </c>
      <c r="D485" t="s">
        <v>66</v>
      </c>
      <c r="E485" t="s">
        <v>54</v>
      </c>
      <c r="F485" t="s">
        <v>47</v>
      </c>
      <c r="G485">
        <v>42</v>
      </c>
      <c r="H485">
        <v>1915</v>
      </c>
      <c r="I485" t="s">
        <v>578</v>
      </c>
      <c r="J485" t="s">
        <v>25</v>
      </c>
      <c r="K485">
        <v>1450</v>
      </c>
      <c r="L485" s="7">
        <f t="shared" si="14"/>
        <v>80430</v>
      </c>
      <c r="M485" s="7">
        <f>dataset!$L485-T485</f>
        <v>19530</v>
      </c>
      <c r="N485" s="7">
        <f>dataset!$M485/dataset!$L485*100</f>
        <v>24.281984334203656</v>
      </c>
      <c r="O485" s="25">
        <f>dataset!$K485*dataset!$G485</f>
        <v>60900</v>
      </c>
      <c r="P485"/>
      <c r="T485">
        <f>dataset!$K485*dataset!$G485</f>
        <v>60900</v>
      </c>
    </row>
    <row r="486" spans="1:20" x14ac:dyDescent="0.35">
      <c r="A486" s="2">
        <v>45796</v>
      </c>
      <c r="B486">
        <f t="shared" si="15"/>
        <v>19</v>
      </c>
      <c r="C486" t="s">
        <v>20</v>
      </c>
      <c r="D486" t="s">
        <v>36</v>
      </c>
      <c r="E486" t="s">
        <v>42</v>
      </c>
      <c r="F486" t="s">
        <v>31</v>
      </c>
      <c r="G486">
        <v>43</v>
      </c>
      <c r="H486">
        <v>1469</v>
      </c>
      <c r="I486" t="s">
        <v>579</v>
      </c>
      <c r="J486" t="s">
        <v>15</v>
      </c>
      <c r="K486">
        <v>1050</v>
      </c>
      <c r="L486" s="7">
        <f t="shared" si="14"/>
        <v>63167</v>
      </c>
      <c r="M486" s="7">
        <f>dataset!$L486-T486</f>
        <v>18017</v>
      </c>
      <c r="N486" s="7">
        <f>dataset!$M486/dataset!$L486*100</f>
        <v>28.522804628999321</v>
      </c>
      <c r="O486" s="25">
        <f>dataset!$K486*dataset!$G486</f>
        <v>45150</v>
      </c>
      <c r="P486"/>
      <c r="T486">
        <f>dataset!$K486*dataset!$G486</f>
        <v>45150</v>
      </c>
    </row>
    <row r="487" spans="1:20" x14ac:dyDescent="0.35">
      <c r="A487" s="2">
        <v>45781</v>
      </c>
      <c r="B487">
        <f t="shared" si="15"/>
        <v>4</v>
      </c>
      <c r="C487" t="s">
        <v>29</v>
      </c>
      <c r="D487" t="s">
        <v>11</v>
      </c>
      <c r="E487" t="s">
        <v>17</v>
      </c>
      <c r="F487" t="s">
        <v>18</v>
      </c>
      <c r="G487">
        <v>40</v>
      </c>
      <c r="H487">
        <v>368</v>
      </c>
      <c r="I487" t="s">
        <v>580</v>
      </c>
      <c r="J487" t="s">
        <v>15</v>
      </c>
      <c r="K487">
        <v>250</v>
      </c>
      <c r="L487" s="7">
        <f t="shared" si="14"/>
        <v>14720</v>
      </c>
      <c r="M487" s="7">
        <f>dataset!$L487-T487</f>
        <v>4720</v>
      </c>
      <c r="N487" s="7">
        <f>dataset!$M487/dataset!$L487*100</f>
        <v>32.065217391304344</v>
      </c>
      <c r="O487" s="25">
        <f>dataset!$K487*dataset!$G487</f>
        <v>10000</v>
      </c>
      <c r="P487"/>
      <c r="T487">
        <f>dataset!$K487*dataset!$G487</f>
        <v>10000</v>
      </c>
    </row>
    <row r="488" spans="1:20" x14ac:dyDescent="0.35">
      <c r="A488" s="2">
        <v>45773</v>
      </c>
      <c r="B488">
        <f t="shared" si="15"/>
        <v>26</v>
      </c>
      <c r="C488" t="s">
        <v>29</v>
      </c>
      <c r="D488" t="s">
        <v>46</v>
      </c>
      <c r="E488" t="s">
        <v>64</v>
      </c>
      <c r="F488" t="s">
        <v>47</v>
      </c>
      <c r="G488">
        <v>48</v>
      </c>
      <c r="H488">
        <v>715</v>
      </c>
      <c r="I488" t="s">
        <v>581</v>
      </c>
      <c r="J488" t="s">
        <v>15</v>
      </c>
      <c r="K488">
        <v>600</v>
      </c>
      <c r="L488" s="7">
        <f t="shared" si="14"/>
        <v>34320</v>
      </c>
      <c r="M488" s="7">
        <f>dataset!$L488-T488</f>
        <v>5520</v>
      </c>
      <c r="N488" s="7">
        <f>dataset!$M488/dataset!$L488*100</f>
        <v>16.083916083916083</v>
      </c>
      <c r="O488" s="25">
        <f>dataset!$K488*dataset!$G488</f>
        <v>28800</v>
      </c>
      <c r="P488"/>
      <c r="T488">
        <f>dataset!$K488*dataset!$G488</f>
        <v>28800</v>
      </c>
    </row>
    <row r="489" spans="1:20" x14ac:dyDescent="0.35">
      <c r="A489" s="2">
        <v>45785</v>
      </c>
      <c r="B489">
        <f t="shared" si="15"/>
        <v>8</v>
      </c>
      <c r="C489" t="s">
        <v>26</v>
      </c>
      <c r="D489" t="s">
        <v>33</v>
      </c>
      <c r="E489" t="s">
        <v>39</v>
      </c>
      <c r="F489" t="s">
        <v>52</v>
      </c>
      <c r="G489">
        <v>36</v>
      </c>
      <c r="H489">
        <v>1117</v>
      </c>
      <c r="I489" t="s">
        <v>582</v>
      </c>
      <c r="J489" t="s">
        <v>25</v>
      </c>
      <c r="K489">
        <v>1000</v>
      </c>
      <c r="L489" s="7">
        <f t="shared" si="14"/>
        <v>40212</v>
      </c>
      <c r="M489" s="7">
        <f>dataset!$L489-T489</f>
        <v>4212</v>
      </c>
      <c r="N489" s="7">
        <f>dataset!$M489/dataset!$L489*100</f>
        <v>10.474485228290064</v>
      </c>
      <c r="O489" s="25">
        <f>dataset!$K489*dataset!$G489</f>
        <v>36000</v>
      </c>
      <c r="P489"/>
      <c r="T489">
        <f>dataset!$K489*dataset!$G489</f>
        <v>36000</v>
      </c>
    </row>
    <row r="490" spans="1:20" x14ac:dyDescent="0.35">
      <c r="A490" s="2">
        <v>45803</v>
      </c>
      <c r="B490">
        <f t="shared" si="15"/>
        <v>26</v>
      </c>
      <c r="C490" t="s">
        <v>29</v>
      </c>
      <c r="D490" t="s">
        <v>27</v>
      </c>
      <c r="E490" t="s">
        <v>30</v>
      </c>
      <c r="F490" t="s">
        <v>18</v>
      </c>
      <c r="G490">
        <v>28</v>
      </c>
      <c r="H490">
        <v>1319</v>
      </c>
      <c r="I490" t="s">
        <v>583</v>
      </c>
      <c r="J490" t="s">
        <v>25</v>
      </c>
      <c r="K490">
        <v>1000</v>
      </c>
      <c r="L490" s="7">
        <f t="shared" si="14"/>
        <v>36932</v>
      </c>
      <c r="M490" s="7">
        <f>dataset!$L490-T490</f>
        <v>8932</v>
      </c>
      <c r="N490" s="7">
        <f>dataset!$M490/dataset!$L490*100</f>
        <v>24.184988627748293</v>
      </c>
      <c r="O490" s="25">
        <f>dataset!$K490*dataset!$G490</f>
        <v>28000</v>
      </c>
      <c r="P490"/>
      <c r="T490">
        <f>dataset!$K490*dataset!$G490</f>
        <v>28000</v>
      </c>
    </row>
    <row r="491" spans="1:20" x14ac:dyDescent="0.35">
      <c r="A491" s="2">
        <v>45807</v>
      </c>
      <c r="B491">
        <f t="shared" si="15"/>
        <v>30</v>
      </c>
      <c r="C491" t="s">
        <v>29</v>
      </c>
      <c r="D491" t="s">
        <v>16</v>
      </c>
      <c r="E491" t="s">
        <v>67</v>
      </c>
      <c r="F491" t="s">
        <v>52</v>
      </c>
      <c r="G491">
        <v>14</v>
      </c>
      <c r="H491">
        <v>2976</v>
      </c>
      <c r="I491" t="s">
        <v>98</v>
      </c>
      <c r="J491" t="s">
        <v>25</v>
      </c>
      <c r="K491">
        <v>1950</v>
      </c>
      <c r="L491" s="7">
        <f t="shared" si="14"/>
        <v>41664</v>
      </c>
      <c r="M491" s="7">
        <f>dataset!$L491-T491</f>
        <v>14364</v>
      </c>
      <c r="N491" s="7">
        <f>dataset!$M491/dataset!$L491*100</f>
        <v>34.475806451612904</v>
      </c>
      <c r="O491" s="25">
        <f>dataset!$K491*dataset!$G491</f>
        <v>27300</v>
      </c>
      <c r="P491"/>
      <c r="T491">
        <f>dataset!$K491*dataset!$G491</f>
        <v>27300</v>
      </c>
    </row>
    <row r="492" spans="1:20" x14ac:dyDescent="0.35">
      <c r="A492" s="2">
        <v>45790</v>
      </c>
      <c r="B492">
        <f t="shared" si="15"/>
        <v>13</v>
      </c>
      <c r="C492" t="s">
        <v>35</v>
      </c>
      <c r="D492" t="s">
        <v>27</v>
      </c>
      <c r="E492" t="s">
        <v>42</v>
      </c>
      <c r="F492" t="s">
        <v>13</v>
      </c>
      <c r="G492">
        <v>6</v>
      </c>
      <c r="H492">
        <v>597</v>
      </c>
      <c r="I492" t="s">
        <v>584</v>
      </c>
      <c r="J492" t="s">
        <v>15</v>
      </c>
      <c r="K492">
        <v>500</v>
      </c>
      <c r="L492" s="7">
        <f t="shared" si="14"/>
        <v>3582</v>
      </c>
      <c r="M492" s="7">
        <f>dataset!$L492-T492</f>
        <v>582</v>
      </c>
      <c r="N492" s="7">
        <f>dataset!$M492/dataset!$L492*100</f>
        <v>16.247906197654942</v>
      </c>
      <c r="O492" s="25">
        <f>dataset!$K492*dataset!$G492</f>
        <v>3000</v>
      </c>
      <c r="P492"/>
      <c r="T492">
        <f>dataset!$K492*dataset!$G492</f>
        <v>3000</v>
      </c>
    </row>
    <row r="493" spans="1:20" x14ac:dyDescent="0.35">
      <c r="A493" s="2">
        <v>45831</v>
      </c>
      <c r="B493">
        <f t="shared" si="15"/>
        <v>23</v>
      </c>
      <c r="C493" t="s">
        <v>35</v>
      </c>
      <c r="D493" t="s">
        <v>16</v>
      </c>
      <c r="E493" t="s">
        <v>12</v>
      </c>
      <c r="F493" t="s">
        <v>13</v>
      </c>
      <c r="G493">
        <v>21</v>
      </c>
      <c r="H493">
        <v>1694</v>
      </c>
      <c r="I493" t="s">
        <v>585</v>
      </c>
      <c r="J493" t="s">
        <v>15</v>
      </c>
      <c r="K493">
        <v>1300</v>
      </c>
      <c r="L493" s="7">
        <f t="shared" si="14"/>
        <v>35574</v>
      </c>
      <c r="M493" s="7">
        <f>dataset!$L493-T493</f>
        <v>8274</v>
      </c>
      <c r="N493" s="7">
        <f>dataset!$M493/dataset!$L493*100</f>
        <v>23.258559622195985</v>
      </c>
      <c r="O493" s="25">
        <f>dataset!$K493*dataset!$G493</f>
        <v>27300</v>
      </c>
      <c r="P493"/>
      <c r="T493">
        <f>dataset!$K493*dataset!$G493</f>
        <v>27300</v>
      </c>
    </row>
    <row r="494" spans="1:20" x14ac:dyDescent="0.35">
      <c r="A494" s="2">
        <v>45825</v>
      </c>
      <c r="B494">
        <f t="shared" si="15"/>
        <v>17</v>
      </c>
      <c r="C494" t="s">
        <v>35</v>
      </c>
      <c r="D494" t="s">
        <v>66</v>
      </c>
      <c r="E494" t="s">
        <v>39</v>
      </c>
      <c r="F494" t="s">
        <v>23</v>
      </c>
      <c r="G494">
        <v>12</v>
      </c>
      <c r="H494">
        <v>2537</v>
      </c>
      <c r="I494" t="s">
        <v>586</v>
      </c>
      <c r="J494" t="s">
        <v>25</v>
      </c>
      <c r="K494">
        <v>1450</v>
      </c>
      <c r="L494" s="7">
        <f t="shared" si="14"/>
        <v>30444</v>
      </c>
      <c r="M494" s="7">
        <f>dataset!$L494-T494</f>
        <v>13044</v>
      </c>
      <c r="N494" s="7">
        <f>dataset!$M494/dataset!$L494*100</f>
        <v>42.845880961765864</v>
      </c>
      <c r="O494" s="25">
        <f>dataset!$K494*dataset!$G494</f>
        <v>17400</v>
      </c>
      <c r="P494"/>
      <c r="T494">
        <f>dataset!$K494*dataset!$G494</f>
        <v>17400</v>
      </c>
    </row>
    <row r="495" spans="1:20" x14ac:dyDescent="0.35">
      <c r="A495" s="2">
        <v>45815</v>
      </c>
      <c r="B495">
        <f t="shared" si="15"/>
        <v>7</v>
      </c>
      <c r="C495" t="s">
        <v>29</v>
      </c>
      <c r="D495" t="s">
        <v>46</v>
      </c>
      <c r="E495" t="s">
        <v>12</v>
      </c>
      <c r="F495" t="s">
        <v>40</v>
      </c>
      <c r="G495">
        <v>37</v>
      </c>
      <c r="H495">
        <v>875</v>
      </c>
      <c r="I495" t="s">
        <v>587</v>
      </c>
      <c r="J495" t="s">
        <v>15</v>
      </c>
      <c r="K495">
        <v>650</v>
      </c>
      <c r="L495" s="7">
        <f t="shared" si="14"/>
        <v>32375</v>
      </c>
      <c r="M495" s="7">
        <f>dataset!$L495-T495</f>
        <v>8325</v>
      </c>
      <c r="N495" s="7">
        <f>dataset!$M495/dataset!$L495*100</f>
        <v>25.714285714285712</v>
      </c>
      <c r="O495" s="25">
        <f>dataset!$K495*dataset!$G495</f>
        <v>24050</v>
      </c>
      <c r="P495"/>
      <c r="T495">
        <f>dataset!$K495*dataset!$G495</f>
        <v>24050</v>
      </c>
    </row>
    <row r="496" spans="1:20" x14ac:dyDescent="0.35">
      <c r="A496" s="2">
        <v>45814</v>
      </c>
      <c r="B496">
        <f t="shared" si="15"/>
        <v>6</v>
      </c>
      <c r="C496" t="s">
        <v>29</v>
      </c>
      <c r="D496" t="s">
        <v>16</v>
      </c>
      <c r="E496" t="s">
        <v>75</v>
      </c>
      <c r="F496" t="s">
        <v>40</v>
      </c>
      <c r="G496">
        <v>43</v>
      </c>
      <c r="H496">
        <v>711</v>
      </c>
      <c r="I496" t="s">
        <v>588</v>
      </c>
      <c r="J496" t="s">
        <v>15</v>
      </c>
      <c r="K496">
        <v>500</v>
      </c>
      <c r="L496" s="7">
        <f t="shared" si="14"/>
        <v>30573</v>
      </c>
      <c r="M496" s="7">
        <f>dataset!$L496-T496</f>
        <v>9073</v>
      </c>
      <c r="N496" s="7">
        <f>dataset!$M496/dataset!$L496*100</f>
        <v>29.676511954992968</v>
      </c>
      <c r="O496" s="25">
        <f>dataset!$K496*dataset!$G496</f>
        <v>21500</v>
      </c>
      <c r="P496"/>
      <c r="T496">
        <f>dataset!$K496*dataset!$G496</f>
        <v>21500</v>
      </c>
    </row>
    <row r="497" spans="1:20" x14ac:dyDescent="0.35">
      <c r="A497" s="2">
        <v>45749</v>
      </c>
      <c r="B497">
        <f t="shared" si="15"/>
        <v>2</v>
      </c>
      <c r="C497" t="s">
        <v>35</v>
      </c>
      <c r="D497" t="s">
        <v>36</v>
      </c>
      <c r="E497" t="s">
        <v>54</v>
      </c>
      <c r="F497" t="s">
        <v>37</v>
      </c>
      <c r="G497">
        <v>20</v>
      </c>
      <c r="H497">
        <v>675</v>
      </c>
      <c r="I497" t="s">
        <v>589</v>
      </c>
      <c r="J497" t="s">
        <v>15</v>
      </c>
      <c r="K497">
        <v>450</v>
      </c>
      <c r="L497" s="7">
        <f t="shared" si="14"/>
        <v>13500</v>
      </c>
      <c r="M497" s="7">
        <f>dataset!$L497-T497</f>
        <v>4500</v>
      </c>
      <c r="N497" s="7">
        <f>dataset!$M497/dataset!$L497*100</f>
        <v>33.333333333333329</v>
      </c>
      <c r="O497" s="25">
        <f>dataset!$K497*dataset!$G497</f>
        <v>9000</v>
      </c>
      <c r="P497"/>
      <c r="T497">
        <f>dataset!$K497*dataset!$G497</f>
        <v>9000</v>
      </c>
    </row>
    <row r="498" spans="1:20" x14ac:dyDescent="0.35">
      <c r="A498" s="2">
        <v>45769</v>
      </c>
      <c r="B498">
        <f t="shared" si="15"/>
        <v>22</v>
      </c>
      <c r="C498" t="s">
        <v>10</v>
      </c>
      <c r="D498" t="s">
        <v>66</v>
      </c>
      <c r="E498" t="s">
        <v>54</v>
      </c>
      <c r="F498" t="s">
        <v>52</v>
      </c>
      <c r="G498">
        <v>42</v>
      </c>
      <c r="H498">
        <v>1802</v>
      </c>
      <c r="I498" t="s">
        <v>590</v>
      </c>
      <c r="J498" t="s">
        <v>25</v>
      </c>
      <c r="K498">
        <v>1300</v>
      </c>
      <c r="L498" s="7">
        <f t="shared" si="14"/>
        <v>75684</v>
      </c>
      <c r="M498" s="7">
        <f>dataset!$L498-T498</f>
        <v>21084</v>
      </c>
      <c r="N498" s="7">
        <f>dataset!$M498/dataset!$L498*100</f>
        <v>27.857935627081019</v>
      </c>
      <c r="O498" s="25">
        <f>dataset!$K498*dataset!$G498</f>
        <v>54600</v>
      </c>
      <c r="P498"/>
      <c r="T498">
        <f>dataset!$K498*dataset!$G498</f>
        <v>54600</v>
      </c>
    </row>
    <row r="499" spans="1:20" x14ac:dyDescent="0.35">
      <c r="A499" s="2">
        <v>45836</v>
      </c>
      <c r="B499">
        <f t="shared" si="15"/>
        <v>28</v>
      </c>
      <c r="C499" t="s">
        <v>35</v>
      </c>
      <c r="D499" t="s">
        <v>27</v>
      </c>
      <c r="E499" t="s">
        <v>39</v>
      </c>
      <c r="F499" t="s">
        <v>18</v>
      </c>
      <c r="G499">
        <v>11</v>
      </c>
      <c r="H499">
        <v>1248</v>
      </c>
      <c r="I499" t="s">
        <v>591</v>
      </c>
      <c r="J499" t="s">
        <v>25</v>
      </c>
      <c r="K499">
        <v>950</v>
      </c>
      <c r="L499" s="7">
        <f t="shared" si="14"/>
        <v>13728</v>
      </c>
      <c r="M499" s="7">
        <f>dataset!$L499-T499</f>
        <v>3278</v>
      </c>
      <c r="N499" s="7">
        <f>dataset!$M499/dataset!$L499*100</f>
        <v>23.878205128205128</v>
      </c>
      <c r="O499" s="25">
        <f>dataset!$K499*dataset!$G499</f>
        <v>10450</v>
      </c>
      <c r="P499"/>
      <c r="T499">
        <f>dataset!$K499*dataset!$G499</f>
        <v>10450</v>
      </c>
    </row>
    <row r="500" spans="1:20" x14ac:dyDescent="0.35">
      <c r="A500" s="2">
        <v>45751</v>
      </c>
      <c r="B500">
        <f t="shared" si="15"/>
        <v>4</v>
      </c>
      <c r="C500" t="s">
        <v>26</v>
      </c>
      <c r="D500" t="s">
        <v>21</v>
      </c>
      <c r="E500" t="s">
        <v>12</v>
      </c>
      <c r="F500" t="s">
        <v>31</v>
      </c>
      <c r="G500">
        <v>46</v>
      </c>
      <c r="H500">
        <v>2907</v>
      </c>
      <c r="I500" t="s">
        <v>592</v>
      </c>
      <c r="J500" t="s">
        <v>15</v>
      </c>
      <c r="K500">
        <v>2200</v>
      </c>
      <c r="L500" s="7">
        <f t="shared" si="14"/>
        <v>133722</v>
      </c>
      <c r="M500" s="7">
        <f>dataset!$L500-T500</f>
        <v>32522</v>
      </c>
      <c r="N500" s="7">
        <f>dataset!$M500/dataset!$L500*100</f>
        <v>24.320605435156519</v>
      </c>
      <c r="O500" s="25">
        <f>dataset!$K500*dataset!$G500</f>
        <v>101200</v>
      </c>
      <c r="P500"/>
      <c r="T500">
        <f>dataset!$K500*dataset!$G500</f>
        <v>101200</v>
      </c>
    </row>
    <row r="501" spans="1:20" x14ac:dyDescent="0.35">
      <c r="A501" s="2">
        <v>45768</v>
      </c>
      <c r="B501">
        <f t="shared" si="15"/>
        <v>21</v>
      </c>
      <c r="C501" t="s">
        <v>10</v>
      </c>
      <c r="D501" t="s">
        <v>36</v>
      </c>
      <c r="E501" t="s">
        <v>39</v>
      </c>
      <c r="F501" t="s">
        <v>31</v>
      </c>
      <c r="G501">
        <v>8</v>
      </c>
      <c r="H501">
        <v>2960</v>
      </c>
      <c r="I501" t="s">
        <v>593</v>
      </c>
      <c r="J501" t="s">
        <v>25</v>
      </c>
      <c r="K501">
        <v>1800</v>
      </c>
      <c r="L501" s="7">
        <f t="shared" si="14"/>
        <v>23680</v>
      </c>
      <c r="M501" s="7">
        <f>dataset!$L501-T501</f>
        <v>9280</v>
      </c>
      <c r="N501" s="7">
        <f>dataset!$M501/dataset!$L501*100</f>
        <v>39.189189189189186</v>
      </c>
      <c r="O501" s="25">
        <f>dataset!$K501*dataset!$G501</f>
        <v>14400</v>
      </c>
      <c r="P501"/>
      <c r="T501">
        <f>dataset!$K501*dataset!$G501</f>
        <v>14400</v>
      </c>
    </row>
    <row r="502" spans="1:20" x14ac:dyDescent="0.35">
      <c r="A502" s="2">
        <v>45814</v>
      </c>
      <c r="B502">
        <f t="shared" si="15"/>
        <v>6</v>
      </c>
      <c r="C502" t="s">
        <v>20</v>
      </c>
      <c r="D502" t="s">
        <v>16</v>
      </c>
      <c r="E502" t="s">
        <v>67</v>
      </c>
      <c r="F502" t="s">
        <v>31</v>
      </c>
      <c r="G502">
        <v>45</v>
      </c>
      <c r="H502">
        <v>1554</v>
      </c>
      <c r="I502" t="s">
        <v>99</v>
      </c>
      <c r="J502" t="s">
        <v>15</v>
      </c>
      <c r="K502">
        <v>1200</v>
      </c>
      <c r="L502" s="7">
        <f t="shared" si="14"/>
        <v>69930</v>
      </c>
      <c r="M502" s="7">
        <f>dataset!$L502-T502</f>
        <v>15930</v>
      </c>
      <c r="N502" s="7">
        <f>dataset!$M502/dataset!$L502*100</f>
        <v>22.779922779922778</v>
      </c>
      <c r="O502" s="25">
        <f>dataset!$K502*dataset!$G502</f>
        <v>54000</v>
      </c>
      <c r="P502"/>
      <c r="T502">
        <f>dataset!$K502*dataset!$G502</f>
        <v>54000</v>
      </c>
    </row>
    <row r="503" spans="1:20" x14ac:dyDescent="0.35">
      <c r="A503" s="2">
        <v>45800</v>
      </c>
      <c r="B503">
        <f t="shared" si="15"/>
        <v>23</v>
      </c>
      <c r="C503" t="s">
        <v>20</v>
      </c>
      <c r="D503" t="s">
        <v>11</v>
      </c>
      <c r="E503" t="s">
        <v>39</v>
      </c>
      <c r="F503" t="s">
        <v>37</v>
      </c>
      <c r="G503">
        <v>37</v>
      </c>
      <c r="H503">
        <v>1707</v>
      </c>
      <c r="I503" t="s">
        <v>594</v>
      </c>
      <c r="J503" t="s">
        <v>15</v>
      </c>
      <c r="K503">
        <v>1450</v>
      </c>
      <c r="L503" s="7">
        <f t="shared" si="14"/>
        <v>63159</v>
      </c>
      <c r="M503" s="7">
        <f>dataset!$L503-T503</f>
        <v>9509</v>
      </c>
      <c r="N503" s="7">
        <f>dataset!$M503/dataset!$L503*100</f>
        <v>15.055653192735793</v>
      </c>
      <c r="O503" s="25">
        <f>dataset!$K503*dataset!$G503</f>
        <v>53650</v>
      </c>
      <c r="P503"/>
      <c r="T503">
        <f>dataset!$K503*dataset!$G503</f>
        <v>53650</v>
      </c>
    </row>
    <row r="504" spans="1:20" x14ac:dyDescent="0.35">
      <c r="A504" s="2">
        <v>45787</v>
      </c>
      <c r="B504">
        <f t="shared" si="15"/>
        <v>10</v>
      </c>
      <c r="C504" t="s">
        <v>20</v>
      </c>
      <c r="D504" t="s">
        <v>66</v>
      </c>
      <c r="E504" t="s">
        <v>67</v>
      </c>
      <c r="F504" t="s">
        <v>47</v>
      </c>
      <c r="G504">
        <v>19</v>
      </c>
      <c r="H504">
        <v>2379</v>
      </c>
      <c r="I504" t="s">
        <v>595</v>
      </c>
      <c r="J504" t="s">
        <v>25</v>
      </c>
      <c r="K504">
        <v>1250</v>
      </c>
      <c r="L504" s="7">
        <f t="shared" si="14"/>
        <v>45201</v>
      </c>
      <c r="M504" s="7">
        <f>dataset!$L504-T504</f>
        <v>21451</v>
      </c>
      <c r="N504" s="7">
        <f>dataset!$M504/dataset!$L504*100</f>
        <v>47.456914670029427</v>
      </c>
      <c r="O504" s="25">
        <f>dataset!$K504*dataset!$G504</f>
        <v>23750</v>
      </c>
      <c r="P504"/>
      <c r="T504">
        <f>dataset!$K504*dataset!$G504</f>
        <v>23750</v>
      </c>
    </row>
    <row r="505" spans="1:20" x14ac:dyDescent="0.35">
      <c r="A505" s="2">
        <v>45760</v>
      </c>
      <c r="B505">
        <f t="shared" si="15"/>
        <v>13</v>
      </c>
      <c r="C505" t="s">
        <v>10</v>
      </c>
      <c r="D505" t="s">
        <v>21</v>
      </c>
      <c r="E505" t="s">
        <v>75</v>
      </c>
      <c r="F505" t="s">
        <v>40</v>
      </c>
      <c r="G505">
        <v>38</v>
      </c>
      <c r="H505">
        <v>2726</v>
      </c>
      <c r="I505" t="s">
        <v>596</v>
      </c>
      <c r="J505" t="s">
        <v>25</v>
      </c>
      <c r="K505">
        <v>1500</v>
      </c>
      <c r="L505" s="7">
        <f t="shared" si="14"/>
        <v>103588</v>
      </c>
      <c r="M505" s="7">
        <f>dataset!$L505-T505</f>
        <v>46588</v>
      </c>
      <c r="N505" s="7">
        <f>dataset!$M505/dataset!$L505*100</f>
        <v>44.974321349963311</v>
      </c>
      <c r="O505" s="25">
        <f>dataset!$K505*dataset!$G505</f>
        <v>57000</v>
      </c>
      <c r="P505"/>
      <c r="T505">
        <f>dataset!$K505*dataset!$G505</f>
        <v>57000</v>
      </c>
    </row>
    <row r="506" spans="1:20" x14ac:dyDescent="0.35">
      <c r="A506" s="2">
        <v>45804</v>
      </c>
      <c r="B506">
        <f t="shared" si="15"/>
        <v>27</v>
      </c>
      <c r="C506" t="s">
        <v>35</v>
      </c>
      <c r="D506" t="s">
        <v>66</v>
      </c>
      <c r="E506" t="s">
        <v>22</v>
      </c>
      <c r="F506" t="s">
        <v>40</v>
      </c>
      <c r="G506">
        <v>22</v>
      </c>
      <c r="H506">
        <v>2660</v>
      </c>
      <c r="I506" t="s">
        <v>597</v>
      </c>
      <c r="J506" t="s">
        <v>25</v>
      </c>
      <c r="K506">
        <v>1800</v>
      </c>
      <c r="L506" s="7">
        <f t="shared" si="14"/>
        <v>58520</v>
      </c>
      <c r="M506" s="7">
        <f>dataset!$L506-T506</f>
        <v>18920</v>
      </c>
      <c r="N506" s="7">
        <f>dataset!$M506/dataset!$L506*100</f>
        <v>32.330827067669169</v>
      </c>
      <c r="O506" s="25">
        <f>dataset!$K506*dataset!$G506</f>
        <v>39600</v>
      </c>
      <c r="P506"/>
      <c r="T506">
        <f>dataset!$K506*dataset!$G506</f>
        <v>39600</v>
      </c>
    </row>
    <row r="507" spans="1:20" x14ac:dyDescent="0.35">
      <c r="A507" s="2">
        <v>45805</v>
      </c>
      <c r="B507">
        <f t="shared" si="15"/>
        <v>28</v>
      </c>
      <c r="C507" t="s">
        <v>29</v>
      </c>
      <c r="D507" t="s">
        <v>16</v>
      </c>
      <c r="E507" t="s">
        <v>30</v>
      </c>
      <c r="F507" t="s">
        <v>40</v>
      </c>
      <c r="G507">
        <v>42</v>
      </c>
      <c r="H507">
        <v>514</v>
      </c>
      <c r="I507" t="s">
        <v>598</v>
      </c>
      <c r="J507" t="s">
        <v>25</v>
      </c>
      <c r="K507">
        <v>300</v>
      </c>
      <c r="L507" s="7">
        <f t="shared" si="14"/>
        <v>21588</v>
      </c>
      <c r="M507" s="7">
        <f>dataset!$L507-T507</f>
        <v>8988</v>
      </c>
      <c r="N507" s="7">
        <f>dataset!$M507/dataset!$L507*100</f>
        <v>41.634241245136188</v>
      </c>
      <c r="O507" s="25">
        <f>dataset!$K507*dataset!$G507</f>
        <v>12600</v>
      </c>
      <c r="P507"/>
      <c r="T507">
        <f>dataset!$K507*dataset!$G507</f>
        <v>12600</v>
      </c>
    </row>
    <row r="508" spans="1:20" x14ac:dyDescent="0.35">
      <c r="A508" s="2">
        <v>45800</v>
      </c>
      <c r="B508">
        <f t="shared" si="15"/>
        <v>23</v>
      </c>
      <c r="C508" t="s">
        <v>29</v>
      </c>
      <c r="D508" t="s">
        <v>33</v>
      </c>
      <c r="E508" t="s">
        <v>39</v>
      </c>
      <c r="F508" t="s">
        <v>23</v>
      </c>
      <c r="G508">
        <v>49</v>
      </c>
      <c r="H508">
        <v>2885</v>
      </c>
      <c r="I508" t="s">
        <v>599</v>
      </c>
      <c r="J508" t="s">
        <v>25</v>
      </c>
      <c r="K508">
        <v>1500</v>
      </c>
      <c r="L508" s="7">
        <f t="shared" si="14"/>
        <v>141365</v>
      </c>
      <c r="M508" s="7">
        <f>dataset!$L508-T508</f>
        <v>67865</v>
      </c>
      <c r="N508" s="7">
        <f>dataset!$M508/dataset!$L508*100</f>
        <v>48.00693240901213</v>
      </c>
      <c r="O508" s="25">
        <f>dataset!$K508*dataset!$G508</f>
        <v>73500</v>
      </c>
      <c r="P508"/>
      <c r="T508">
        <f>dataset!$K508*dataset!$G508</f>
        <v>73500</v>
      </c>
    </row>
    <row r="509" spans="1:20" x14ac:dyDescent="0.35">
      <c r="A509" s="2">
        <v>45818</v>
      </c>
      <c r="B509">
        <f t="shared" si="15"/>
        <v>10</v>
      </c>
      <c r="C509" t="s">
        <v>10</v>
      </c>
      <c r="D509" t="s">
        <v>46</v>
      </c>
      <c r="E509" t="s">
        <v>75</v>
      </c>
      <c r="F509" t="s">
        <v>18</v>
      </c>
      <c r="G509">
        <v>18</v>
      </c>
      <c r="H509">
        <v>2525</v>
      </c>
      <c r="I509" t="s">
        <v>600</v>
      </c>
      <c r="J509" t="s">
        <v>25</v>
      </c>
      <c r="K509">
        <v>1700</v>
      </c>
      <c r="L509" s="7">
        <f t="shared" si="14"/>
        <v>45450</v>
      </c>
      <c r="M509" s="7">
        <f>dataset!$L509-T509</f>
        <v>14850</v>
      </c>
      <c r="N509" s="7">
        <f>dataset!$M509/dataset!$L509*100</f>
        <v>32.673267326732677</v>
      </c>
      <c r="O509" s="25">
        <f>dataset!$K509*dataset!$G509</f>
        <v>30600</v>
      </c>
      <c r="P509"/>
      <c r="T509">
        <f>dataset!$K509*dataset!$G509</f>
        <v>30600</v>
      </c>
    </row>
    <row r="510" spans="1:20" x14ac:dyDescent="0.35">
      <c r="A510" s="2">
        <v>45803</v>
      </c>
      <c r="B510">
        <f t="shared" si="15"/>
        <v>26</v>
      </c>
      <c r="C510" t="s">
        <v>29</v>
      </c>
      <c r="D510" t="s">
        <v>27</v>
      </c>
      <c r="E510" t="s">
        <v>75</v>
      </c>
      <c r="F510" t="s">
        <v>31</v>
      </c>
      <c r="G510">
        <v>9</v>
      </c>
      <c r="H510">
        <v>355</v>
      </c>
      <c r="I510" t="s">
        <v>601</v>
      </c>
      <c r="J510" t="s">
        <v>15</v>
      </c>
      <c r="K510">
        <v>200</v>
      </c>
      <c r="L510" s="7">
        <f t="shared" si="14"/>
        <v>3195</v>
      </c>
      <c r="M510" s="7">
        <f>dataset!$L510-T510</f>
        <v>1395</v>
      </c>
      <c r="N510" s="7">
        <f>dataset!$M510/dataset!$L510*100</f>
        <v>43.661971830985912</v>
      </c>
      <c r="O510" s="25">
        <f>dataset!$K510*dataset!$G510</f>
        <v>1800</v>
      </c>
      <c r="P510"/>
      <c r="T510">
        <f>dataset!$K510*dataset!$G510</f>
        <v>1800</v>
      </c>
    </row>
    <row r="511" spans="1:20" x14ac:dyDescent="0.35">
      <c r="A511" s="2">
        <v>45777</v>
      </c>
      <c r="B511">
        <f t="shared" si="15"/>
        <v>30</v>
      </c>
      <c r="C511" t="s">
        <v>35</v>
      </c>
      <c r="D511" t="s">
        <v>33</v>
      </c>
      <c r="E511" t="s">
        <v>39</v>
      </c>
      <c r="F511" t="s">
        <v>18</v>
      </c>
      <c r="G511">
        <v>11</v>
      </c>
      <c r="H511">
        <v>1404</v>
      </c>
      <c r="I511" t="s">
        <v>602</v>
      </c>
      <c r="J511" t="s">
        <v>15</v>
      </c>
      <c r="K511">
        <v>950</v>
      </c>
      <c r="L511" s="7">
        <f t="shared" si="14"/>
        <v>15444</v>
      </c>
      <c r="M511" s="7">
        <f>dataset!$L511-T511</f>
        <v>4994</v>
      </c>
      <c r="N511" s="7">
        <f>dataset!$M511/dataset!$L511*100</f>
        <v>32.336182336182333</v>
      </c>
      <c r="O511" s="25">
        <f>dataset!$K511*dataset!$G511</f>
        <v>10450</v>
      </c>
      <c r="P511"/>
      <c r="T511">
        <f>dataset!$K511*dataset!$G511</f>
        <v>10450</v>
      </c>
    </row>
    <row r="512" spans="1:20" x14ac:dyDescent="0.35">
      <c r="A512" s="2">
        <v>45798</v>
      </c>
      <c r="B512">
        <f t="shared" si="15"/>
        <v>21</v>
      </c>
      <c r="C512" t="s">
        <v>20</v>
      </c>
      <c r="D512" t="s">
        <v>33</v>
      </c>
      <c r="E512" t="s">
        <v>64</v>
      </c>
      <c r="F512" t="s">
        <v>56</v>
      </c>
      <c r="G512">
        <v>34</v>
      </c>
      <c r="H512">
        <v>980</v>
      </c>
      <c r="I512" t="s">
        <v>603</v>
      </c>
      <c r="J512" t="s">
        <v>25</v>
      </c>
      <c r="K512">
        <v>650</v>
      </c>
      <c r="L512" s="7">
        <f t="shared" si="14"/>
        <v>33320</v>
      </c>
      <c r="M512" s="7">
        <f>dataset!$L512-T512</f>
        <v>11220</v>
      </c>
      <c r="N512" s="7">
        <f>dataset!$M512/dataset!$L512*100</f>
        <v>33.673469387755098</v>
      </c>
      <c r="O512" s="25">
        <f>dataset!$K512*dataset!$G512</f>
        <v>22100</v>
      </c>
      <c r="P512"/>
      <c r="T512">
        <f>dataset!$K512*dataset!$G512</f>
        <v>22100</v>
      </c>
    </row>
    <row r="513" spans="1:20" x14ac:dyDescent="0.35">
      <c r="A513" s="2">
        <v>45767</v>
      </c>
      <c r="B513">
        <f t="shared" si="15"/>
        <v>20</v>
      </c>
      <c r="C513" t="s">
        <v>10</v>
      </c>
      <c r="D513" t="s">
        <v>11</v>
      </c>
      <c r="E513" t="s">
        <v>75</v>
      </c>
      <c r="F513" t="s">
        <v>37</v>
      </c>
      <c r="G513">
        <v>29</v>
      </c>
      <c r="H513">
        <v>2165</v>
      </c>
      <c r="I513" t="s">
        <v>100</v>
      </c>
      <c r="J513" t="s">
        <v>15</v>
      </c>
      <c r="K513">
        <v>1650</v>
      </c>
      <c r="L513" s="7">
        <f t="shared" si="14"/>
        <v>62785</v>
      </c>
      <c r="M513" s="7">
        <f>dataset!$L513-T513</f>
        <v>14935</v>
      </c>
      <c r="N513" s="7">
        <f>dataset!$M513/dataset!$L513*100</f>
        <v>23.787528868360276</v>
      </c>
      <c r="O513" s="25">
        <f>dataset!$K513*dataset!$G513</f>
        <v>47850</v>
      </c>
      <c r="P513"/>
      <c r="T513">
        <f>dataset!$K513*dataset!$G513</f>
        <v>47850</v>
      </c>
    </row>
    <row r="514" spans="1:20" x14ac:dyDescent="0.35">
      <c r="A514" s="2">
        <v>45763</v>
      </c>
      <c r="B514">
        <f t="shared" si="15"/>
        <v>16</v>
      </c>
      <c r="C514" t="s">
        <v>29</v>
      </c>
      <c r="D514" t="s">
        <v>16</v>
      </c>
      <c r="E514" t="s">
        <v>67</v>
      </c>
      <c r="F514" t="s">
        <v>59</v>
      </c>
      <c r="G514">
        <v>29</v>
      </c>
      <c r="H514">
        <v>835</v>
      </c>
      <c r="I514" t="s">
        <v>604</v>
      </c>
      <c r="J514" t="s">
        <v>15</v>
      </c>
      <c r="K514">
        <v>650</v>
      </c>
      <c r="L514" s="7">
        <f t="shared" ref="L514:L577" si="16">G514*H514</f>
        <v>24215</v>
      </c>
      <c r="M514" s="7">
        <f>dataset!$L514-T514</f>
        <v>5365</v>
      </c>
      <c r="N514" s="7">
        <f>dataset!$M514/dataset!$L514*100</f>
        <v>22.155688622754489</v>
      </c>
      <c r="O514" s="25">
        <f>dataset!$K514*dataset!$G514</f>
        <v>18850</v>
      </c>
      <c r="P514"/>
      <c r="T514">
        <f>dataset!$K514*dataset!$G514</f>
        <v>18850</v>
      </c>
    </row>
    <row r="515" spans="1:20" x14ac:dyDescent="0.35">
      <c r="A515" s="2">
        <v>45804</v>
      </c>
      <c r="B515">
        <f t="shared" ref="B515:B578" si="17">DAY(A515)</f>
        <v>27</v>
      </c>
      <c r="C515" t="s">
        <v>35</v>
      </c>
      <c r="D515" t="s">
        <v>27</v>
      </c>
      <c r="E515" t="s">
        <v>67</v>
      </c>
      <c r="F515" t="s">
        <v>18</v>
      </c>
      <c r="G515">
        <v>18</v>
      </c>
      <c r="H515">
        <v>746</v>
      </c>
      <c r="I515" t="s">
        <v>605</v>
      </c>
      <c r="J515" t="s">
        <v>15</v>
      </c>
      <c r="K515">
        <v>550</v>
      </c>
      <c r="L515" s="7">
        <f t="shared" si="16"/>
        <v>13428</v>
      </c>
      <c r="M515" s="7">
        <f>dataset!$L515-T515</f>
        <v>3528</v>
      </c>
      <c r="N515" s="7">
        <f>dataset!$M515/dataset!$L515*100</f>
        <v>26.273458445040216</v>
      </c>
      <c r="O515" s="25">
        <f>dataset!$K515*dataset!$G515</f>
        <v>9900</v>
      </c>
      <c r="P515"/>
      <c r="T515">
        <f>dataset!$K515*dataset!$G515</f>
        <v>9900</v>
      </c>
    </row>
    <row r="516" spans="1:20" x14ac:dyDescent="0.35">
      <c r="A516" s="2">
        <v>45819</v>
      </c>
      <c r="B516">
        <f t="shared" si="17"/>
        <v>11</v>
      </c>
      <c r="C516" t="s">
        <v>10</v>
      </c>
      <c r="D516" t="s">
        <v>36</v>
      </c>
      <c r="E516" t="s">
        <v>42</v>
      </c>
      <c r="F516" t="s">
        <v>59</v>
      </c>
      <c r="G516">
        <v>33</v>
      </c>
      <c r="H516">
        <v>2389</v>
      </c>
      <c r="I516" t="s">
        <v>606</v>
      </c>
      <c r="J516" t="s">
        <v>25</v>
      </c>
      <c r="K516">
        <v>1650</v>
      </c>
      <c r="L516" s="7">
        <f t="shared" si="16"/>
        <v>78837</v>
      </c>
      <c r="M516" s="7">
        <f>dataset!$L516-T516</f>
        <v>24387</v>
      </c>
      <c r="N516" s="7">
        <f>dataset!$M516/dataset!$L516*100</f>
        <v>30.933444956048557</v>
      </c>
      <c r="O516" s="25">
        <f>dataset!$K516*dataset!$G516</f>
        <v>54450</v>
      </c>
      <c r="P516"/>
      <c r="T516">
        <f>dataset!$K516*dataset!$G516</f>
        <v>54450</v>
      </c>
    </row>
    <row r="517" spans="1:20" x14ac:dyDescent="0.35">
      <c r="A517" s="2">
        <v>45829</v>
      </c>
      <c r="B517">
        <f t="shared" si="17"/>
        <v>21</v>
      </c>
      <c r="C517" t="s">
        <v>35</v>
      </c>
      <c r="D517" t="s">
        <v>66</v>
      </c>
      <c r="E517" t="s">
        <v>17</v>
      </c>
      <c r="F517" t="s">
        <v>23</v>
      </c>
      <c r="G517">
        <v>9</v>
      </c>
      <c r="H517">
        <v>385</v>
      </c>
      <c r="I517" t="s">
        <v>607</v>
      </c>
      <c r="J517" t="s">
        <v>15</v>
      </c>
      <c r="K517">
        <v>350</v>
      </c>
      <c r="L517" s="7">
        <f t="shared" si="16"/>
        <v>3465</v>
      </c>
      <c r="M517" s="7">
        <f>dataset!$L517-T517</f>
        <v>315</v>
      </c>
      <c r="N517" s="7">
        <f>dataset!$M517/dataset!$L517*100</f>
        <v>9.0909090909090917</v>
      </c>
      <c r="O517" s="25">
        <f>dataset!$K517*dataset!$G517</f>
        <v>3150</v>
      </c>
      <c r="P517"/>
      <c r="T517">
        <f>dataset!$K517*dataset!$G517</f>
        <v>3150</v>
      </c>
    </row>
    <row r="518" spans="1:20" x14ac:dyDescent="0.35">
      <c r="A518" s="2">
        <v>45809</v>
      </c>
      <c r="B518">
        <f t="shared" si="17"/>
        <v>1</v>
      </c>
      <c r="C518" t="s">
        <v>26</v>
      </c>
      <c r="D518" t="s">
        <v>27</v>
      </c>
      <c r="E518" t="s">
        <v>42</v>
      </c>
      <c r="F518" t="s">
        <v>23</v>
      </c>
      <c r="G518">
        <v>26</v>
      </c>
      <c r="H518">
        <v>924</v>
      </c>
      <c r="I518" t="s">
        <v>608</v>
      </c>
      <c r="J518" t="s">
        <v>15</v>
      </c>
      <c r="K518">
        <v>600</v>
      </c>
      <c r="L518" s="7">
        <f t="shared" si="16"/>
        <v>24024</v>
      </c>
      <c r="M518" s="7">
        <f>dataset!$L518-T518</f>
        <v>8424</v>
      </c>
      <c r="N518" s="7">
        <f>dataset!$M518/dataset!$L518*100</f>
        <v>35.064935064935064</v>
      </c>
      <c r="O518" s="25">
        <f>dataset!$K518*dataset!$G518</f>
        <v>15600</v>
      </c>
      <c r="P518"/>
      <c r="T518">
        <f>dataset!$K518*dataset!$G518</f>
        <v>15600</v>
      </c>
    </row>
    <row r="519" spans="1:20" x14ac:dyDescent="0.35">
      <c r="A519" s="2">
        <v>45838</v>
      </c>
      <c r="B519">
        <f t="shared" si="17"/>
        <v>30</v>
      </c>
      <c r="C519" t="s">
        <v>10</v>
      </c>
      <c r="D519" t="s">
        <v>66</v>
      </c>
      <c r="E519" t="s">
        <v>42</v>
      </c>
      <c r="F519" t="s">
        <v>31</v>
      </c>
      <c r="G519">
        <v>27</v>
      </c>
      <c r="H519">
        <v>778</v>
      </c>
      <c r="I519" t="s">
        <v>609</v>
      </c>
      <c r="J519" t="s">
        <v>25</v>
      </c>
      <c r="K519">
        <v>600</v>
      </c>
      <c r="L519" s="7">
        <f t="shared" si="16"/>
        <v>21006</v>
      </c>
      <c r="M519" s="7">
        <f>dataset!$L519-T519</f>
        <v>4806</v>
      </c>
      <c r="N519" s="7">
        <f>dataset!$M519/dataset!$L519*100</f>
        <v>22.879177377892031</v>
      </c>
      <c r="O519" s="25">
        <f>dataset!$K519*dataset!$G519</f>
        <v>16200</v>
      </c>
      <c r="P519"/>
      <c r="T519">
        <f>dataset!$K519*dataset!$G519</f>
        <v>16200</v>
      </c>
    </row>
    <row r="520" spans="1:20" x14ac:dyDescent="0.35">
      <c r="A520" s="2">
        <v>45833</v>
      </c>
      <c r="B520">
        <f t="shared" si="17"/>
        <v>25</v>
      </c>
      <c r="C520" t="s">
        <v>26</v>
      </c>
      <c r="D520" t="s">
        <v>36</v>
      </c>
      <c r="E520" t="s">
        <v>30</v>
      </c>
      <c r="F520" t="s">
        <v>13</v>
      </c>
      <c r="G520">
        <v>40</v>
      </c>
      <c r="H520">
        <v>1790</v>
      </c>
      <c r="I520" t="s">
        <v>610</v>
      </c>
      <c r="J520" t="s">
        <v>15</v>
      </c>
      <c r="K520">
        <v>1200</v>
      </c>
      <c r="L520" s="7">
        <f t="shared" si="16"/>
        <v>71600</v>
      </c>
      <c r="M520" s="7">
        <f>dataset!$L520-T520</f>
        <v>23600</v>
      </c>
      <c r="N520" s="7">
        <f>dataset!$M520/dataset!$L520*100</f>
        <v>32.960893854748605</v>
      </c>
      <c r="O520" s="25">
        <f>dataset!$K520*dataset!$G520</f>
        <v>48000</v>
      </c>
      <c r="P520"/>
      <c r="T520">
        <f>dataset!$K520*dataset!$G520</f>
        <v>48000</v>
      </c>
    </row>
    <row r="521" spans="1:20" x14ac:dyDescent="0.35">
      <c r="A521" s="2">
        <v>45823</v>
      </c>
      <c r="B521">
        <f t="shared" si="17"/>
        <v>15</v>
      </c>
      <c r="C521" t="s">
        <v>29</v>
      </c>
      <c r="D521" t="s">
        <v>66</v>
      </c>
      <c r="E521" t="s">
        <v>54</v>
      </c>
      <c r="F521" t="s">
        <v>56</v>
      </c>
      <c r="G521">
        <v>33</v>
      </c>
      <c r="H521">
        <v>2602</v>
      </c>
      <c r="I521" t="s">
        <v>611</v>
      </c>
      <c r="J521" t="s">
        <v>15</v>
      </c>
      <c r="K521">
        <v>1350</v>
      </c>
      <c r="L521" s="7">
        <f t="shared" si="16"/>
        <v>85866</v>
      </c>
      <c r="M521" s="7">
        <f>dataset!$L521-T521</f>
        <v>41316</v>
      </c>
      <c r="N521" s="7">
        <f>dataset!$M521/dataset!$L521*100</f>
        <v>48.116833205226747</v>
      </c>
      <c r="O521" s="25">
        <f>dataset!$K521*dataset!$G521</f>
        <v>44550</v>
      </c>
      <c r="P521"/>
      <c r="T521">
        <f>dataset!$K521*dataset!$G521</f>
        <v>44550</v>
      </c>
    </row>
    <row r="522" spans="1:20" x14ac:dyDescent="0.35">
      <c r="A522" s="2">
        <v>45779</v>
      </c>
      <c r="B522">
        <f t="shared" si="17"/>
        <v>2</v>
      </c>
      <c r="C522" t="s">
        <v>26</v>
      </c>
      <c r="D522" t="s">
        <v>27</v>
      </c>
      <c r="E522" t="s">
        <v>42</v>
      </c>
      <c r="F522" t="s">
        <v>56</v>
      </c>
      <c r="G522">
        <v>40</v>
      </c>
      <c r="H522">
        <v>649</v>
      </c>
      <c r="I522" t="s">
        <v>612</v>
      </c>
      <c r="J522" t="s">
        <v>25</v>
      </c>
      <c r="K522">
        <v>450</v>
      </c>
      <c r="L522" s="7">
        <f t="shared" si="16"/>
        <v>25960</v>
      </c>
      <c r="M522" s="7">
        <f>dataset!$L522-T522</f>
        <v>7960</v>
      </c>
      <c r="N522" s="7">
        <f>dataset!$M522/dataset!$L522*100</f>
        <v>30.662557781201848</v>
      </c>
      <c r="O522" s="25">
        <f>dataset!$K522*dataset!$G522</f>
        <v>18000</v>
      </c>
      <c r="P522"/>
      <c r="T522">
        <f>dataset!$K522*dataset!$G522</f>
        <v>18000</v>
      </c>
    </row>
    <row r="523" spans="1:20" x14ac:dyDescent="0.35">
      <c r="A523" s="2">
        <v>45792</v>
      </c>
      <c r="B523">
        <f t="shared" si="17"/>
        <v>15</v>
      </c>
      <c r="C523" t="s">
        <v>26</v>
      </c>
      <c r="D523" t="s">
        <v>21</v>
      </c>
      <c r="E523" t="s">
        <v>75</v>
      </c>
      <c r="F523" t="s">
        <v>13</v>
      </c>
      <c r="G523">
        <v>7</v>
      </c>
      <c r="H523">
        <v>353</v>
      </c>
      <c r="I523" t="s">
        <v>613</v>
      </c>
      <c r="J523" t="s">
        <v>25</v>
      </c>
      <c r="K523">
        <v>250</v>
      </c>
      <c r="L523" s="7">
        <f t="shared" si="16"/>
        <v>2471</v>
      </c>
      <c r="M523" s="7">
        <f>dataset!$L523-T523</f>
        <v>721</v>
      </c>
      <c r="N523" s="7">
        <f>dataset!$M523/dataset!$L523*100</f>
        <v>29.178470254957507</v>
      </c>
      <c r="O523" s="25">
        <f>dataset!$K523*dataset!$G523</f>
        <v>1750</v>
      </c>
      <c r="P523"/>
      <c r="T523">
        <f>dataset!$K523*dataset!$G523</f>
        <v>1750</v>
      </c>
    </row>
    <row r="524" spans="1:20" x14ac:dyDescent="0.35">
      <c r="A524" s="2">
        <v>45771</v>
      </c>
      <c r="B524">
        <f t="shared" si="17"/>
        <v>24</v>
      </c>
      <c r="C524" t="s">
        <v>20</v>
      </c>
      <c r="D524" t="s">
        <v>11</v>
      </c>
      <c r="E524" t="s">
        <v>64</v>
      </c>
      <c r="F524" t="s">
        <v>40</v>
      </c>
      <c r="G524">
        <v>9</v>
      </c>
      <c r="H524">
        <v>1254</v>
      </c>
      <c r="I524" t="s">
        <v>101</v>
      </c>
      <c r="J524" t="s">
        <v>25</v>
      </c>
      <c r="K524">
        <v>1050</v>
      </c>
      <c r="L524" s="7">
        <f t="shared" si="16"/>
        <v>11286</v>
      </c>
      <c r="M524" s="7">
        <f>dataset!$L524-T524</f>
        <v>1836</v>
      </c>
      <c r="N524" s="7">
        <f>dataset!$M524/dataset!$L524*100</f>
        <v>16.267942583732058</v>
      </c>
      <c r="O524" s="25">
        <f>dataset!$K524*dataset!$G524</f>
        <v>9450</v>
      </c>
      <c r="P524"/>
      <c r="T524">
        <f>dataset!$K524*dataset!$G524</f>
        <v>9450</v>
      </c>
    </row>
    <row r="525" spans="1:20" x14ac:dyDescent="0.35">
      <c r="A525" s="2">
        <v>45757</v>
      </c>
      <c r="B525">
        <f t="shared" si="17"/>
        <v>10</v>
      </c>
      <c r="C525" t="s">
        <v>26</v>
      </c>
      <c r="D525" t="s">
        <v>11</v>
      </c>
      <c r="E525" t="s">
        <v>39</v>
      </c>
      <c r="F525" t="s">
        <v>56</v>
      </c>
      <c r="G525">
        <v>50</v>
      </c>
      <c r="H525">
        <v>692</v>
      </c>
      <c r="I525" t="s">
        <v>614</v>
      </c>
      <c r="J525" t="s">
        <v>15</v>
      </c>
      <c r="K525">
        <v>400</v>
      </c>
      <c r="L525" s="7">
        <f t="shared" si="16"/>
        <v>34600</v>
      </c>
      <c r="M525" s="7">
        <f>dataset!$L525-T525</f>
        <v>14600</v>
      </c>
      <c r="N525" s="7">
        <f>dataset!$M525/dataset!$L525*100</f>
        <v>42.196531791907518</v>
      </c>
      <c r="O525" s="25">
        <f>dataset!$K525*dataset!$G525</f>
        <v>20000</v>
      </c>
      <c r="P525"/>
      <c r="T525">
        <f>dataset!$K525*dataset!$G525</f>
        <v>20000</v>
      </c>
    </row>
    <row r="526" spans="1:20" x14ac:dyDescent="0.35">
      <c r="A526" s="2">
        <v>45766</v>
      </c>
      <c r="B526">
        <f t="shared" si="17"/>
        <v>19</v>
      </c>
      <c r="C526" t="s">
        <v>20</v>
      </c>
      <c r="D526" t="s">
        <v>36</v>
      </c>
      <c r="E526" t="s">
        <v>75</v>
      </c>
      <c r="F526" t="s">
        <v>52</v>
      </c>
      <c r="G526">
        <v>11</v>
      </c>
      <c r="H526">
        <v>479</v>
      </c>
      <c r="I526" t="s">
        <v>615</v>
      </c>
      <c r="J526" t="s">
        <v>15</v>
      </c>
      <c r="K526">
        <v>350</v>
      </c>
      <c r="L526" s="7">
        <f t="shared" si="16"/>
        <v>5269</v>
      </c>
      <c r="M526" s="7">
        <f>dataset!$L526-T526</f>
        <v>1419</v>
      </c>
      <c r="N526" s="7">
        <f>dataset!$M526/dataset!$L526*100</f>
        <v>26.931106471816285</v>
      </c>
      <c r="O526" s="25">
        <f>dataset!$K526*dataset!$G526</f>
        <v>3850</v>
      </c>
      <c r="P526"/>
      <c r="T526">
        <f>dataset!$K526*dataset!$G526</f>
        <v>3850</v>
      </c>
    </row>
    <row r="527" spans="1:20" x14ac:dyDescent="0.35">
      <c r="A527" s="2">
        <v>45800</v>
      </c>
      <c r="B527">
        <f t="shared" si="17"/>
        <v>23</v>
      </c>
      <c r="C527" t="s">
        <v>20</v>
      </c>
      <c r="D527" t="s">
        <v>33</v>
      </c>
      <c r="E527" t="s">
        <v>54</v>
      </c>
      <c r="F527" t="s">
        <v>59</v>
      </c>
      <c r="G527">
        <v>50</v>
      </c>
      <c r="H527">
        <v>1840</v>
      </c>
      <c r="I527" t="s">
        <v>616</v>
      </c>
      <c r="J527" t="s">
        <v>15</v>
      </c>
      <c r="K527">
        <v>1250</v>
      </c>
      <c r="L527" s="7">
        <f t="shared" si="16"/>
        <v>92000</v>
      </c>
      <c r="M527" s="7">
        <f>dataset!$L527-T527</f>
        <v>29500</v>
      </c>
      <c r="N527" s="7">
        <f>dataset!$M527/dataset!$L527*100</f>
        <v>32.065217391304344</v>
      </c>
      <c r="O527" s="25">
        <f>dataset!$K527*dataset!$G527</f>
        <v>62500</v>
      </c>
      <c r="P527"/>
      <c r="T527">
        <f>dataset!$K527*dataset!$G527</f>
        <v>62500</v>
      </c>
    </row>
    <row r="528" spans="1:20" x14ac:dyDescent="0.35">
      <c r="A528" s="2">
        <v>45804</v>
      </c>
      <c r="B528">
        <f t="shared" si="17"/>
        <v>27</v>
      </c>
      <c r="C528" t="s">
        <v>20</v>
      </c>
      <c r="D528" t="s">
        <v>21</v>
      </c>
      <c r="E528" t="s">
        <v>42</v>
      </c>
      <c r="F528" t="s">
        <v>23</v>
      </c>
      <c r="G528">
        <v>49</v>
      </c>
      <c r="H528">
        <v>1481</v>
      </c>
      <c r="I528" t="s">
        <v>617</v>
      </c>
      <c r="J528" t="s">
        <v>25</v>
      </c>
      <c r="K528">
        <v>1100</v>
      </c>
      <c r="L528" s="7">
        <f t="shared" si="16"/>
        <v>72569</v>
      </c>
      <c r="M528" s="7">
        <f>dataset!$L528-T528</f>
        <v>18669</v>
      </c>
      <c r="N528" s="7">
        <f>dataset!$M528/dataset!$L528*100</f>
        <v>25.725860904794057</v>
      </c>
      <c r="O528" s="25">
        <f>dataset!$K528*dataset!$G528</f>
        <v>53900</v>
      </c>
      <c r="P528"/>
      <c r="T528">
        <f>dataset!$K528*dataset!$G528</f>
        <v>53900</v>
      </c>
    </row>
    <row r="529" spans="1:20" x14ac:dyDescent="0.35">
      <c r="A529" s="2">
        <v>45831</v>
      </c>
      <c r="B529">
        <f t="shared" si="17"/>
        <v>23</v>
      </c>
      <c r="C529" t="s">
        <v>29</v>
      </c>
      <c r="D529" t="s">
        <v>11</v>
      </c>
      <c r="E529" t="s">
        <v>54</v>
      </c>
      <c r="F529" t="s">
        <v>31</v>
      </c>
      <c r="G529">
        <v>11</v>
      </c>
      <c r="H529">
        <v>2978</v>
      </c>
      <c r="I529" t="s">
        <v>618</v>
      </c>
      <c r="J529" t="s">
        <v>15</v>
      </c>
      <c r="K529">
        <v>2500</v>
      </c>
      <c r="L529" s="7">
        <f t="shared" si="16"/>
        <v>32758</v>
      </c>
      <c r="M529" s="7">
        <f>dataset!$L529-T529</f>
        <v>5258</v>
      </c>
      <c r="N529" s="7">
        <f>dataset!$M529/dataset!$L529*100</f>
        <v>16.05104096709201</v>
      </c>
      <c r="O529" s="25">
        <f>dataset!$K529*dataset!$G529</f>
        <v>27500</v>
      </c>
      <c r="P529"/>
      <c r="T529">
        <f>dataset!$K529*dataset!$G529</f>
        <v>27500</v>
      </c>
    </row>
    <row r="530" spans="1:20" x14ac:dyDescent="0.35">
      <c r="A530" s="2">
        <v>45838</v>
      </c>
      <c r="B530">
        <f t="shared" si="17"/>
        <v>30</v>
      </c>
      <c r="C530" t="s">
        <v>29</v>
      </c>
      <c r="D530" t="s">
        <v>36</v>
      </c>
      <c r="E530" t="s">
        <v>67</v>
      </c>
      <c r="F530" t="s">
        <v>18</v>
      </c>
      <c r="G530">
        <v>6</v>
      </c>
      <c r="H530">
        <v>593</v>
      </c>
      <c r="I530" t="s">
        <v>619</v>
      </c>
      <c r="J530" t="s">
        <v>15</v>
      </c>
      <c r="K530">
        <v>500</v>
      </c>
      <c r="L530" s="7">
        <f t="shared" si="16"/>
        <v>3558</v>
      </c>
      <c r="M530" s="7">
        <f>dataset!$L530-T530</f>
        <v>558</v>
      </c>
      <c r="N530" s="7">
        <f>dataset!$M530/dataset!$L530*100</f>
        <v>15.682967959527824</v>
      </c>
      <c r="O530" s="25">
        <f>dataset!$K530*dataset!$G530</f>
        <v>3000</v>
      </c>
      <c r="P530"/>
      <c r="T530">
        <f>dataset!$K530*dataset!$G530</f>
        <v>3000</v>
      </c>
    </row>
    <row r="531" spans="1:20" x14ac:dyDescent="0.35">
      <c r="A531" s="2">
        <v>45786</v>
      </c>
      <c r="B531">
        <f t="shared" si="17"/>
        <v>9</v>
      </c>
      <c r="C531" t="s">
        <v>35</v>
      </c>
      <c r="D531" t="s">
        <v>36</v>
      </c>
      <c r="E531" t="s">
        <v>17</v>
      </c>
      <c r="F531" t="s">
        <v>31</v>
      </c>
      <c r="G531">
        <v>44</v>
      </c>
      <c r="H531">
        <v>1808</v>
      </c>
      <c r="I531" t="s">
        <v>620</v>
      </c>
      <c r="J531" t="s">
        <v>15</v>
      </c>
      <c r="K531">
        <v>950</v>
      </c>
      <c r="L531" s="7">
        <f t="shared" si="16"/>
        <v>79552</v>
      </c>
      <c r="M531" s="7">
        <f>dataset!$L531-T531</f>
        <v>37752</v>
      </c>
      <c r="N531" s="7">
        <f>dataset!$M531/dataset!$L531*100</f>
        <v>47.455752212389378</v>
      </c>
      <c r="O531" s="25">
        <f>dataset!$K531*dataset!$G531</f>
        <v>41800</v>
      </c>
      <c r="P531"/>
      <c r="T531">
        <f>dataset!$K531*dataset!$G531</f>
        <v>41800</v>
      </c>
    </row>
    <row r="532" spans="1:20" x14ac:dyDescent="0.35">
      <c r="A532" s="2">
        <v>45831</v>
      </c>
      <c r="B532">
        <f t="shared" si="17"/>
        <v>23</v>
      </c>
      <c r="C532" t="s">
        <v>29</v>
      </c>
      <c r="D532" t="s">
        <v>21</v>
      </c>
      <c r="E532" t="s">
        <v>12</v>
      </c>
      <c r="F532" t="s">
        <v>31</v>
      </c>
      <c r="G532">
        <v>37</v>
      </c>
      <c r="H532">
        <v>1619</v>
      </c>
      <c r="I532" t="s">
        <v>621</v>
      </c>
      <c r="J532" t="s">
        <v>15</v>
      </c>
      <c r="K532">
        <v>950</v>
      </c>
      <c r="L532" s="7">
        <f t="shared" si="16"/>
        <v>59903</v>
      </c>
      <c r="M532" s="7">
        <f>dataset!$L532-T532</f>
        <v>24753</v>
      </c>
      <c r="N532" s="7">
        <f>dataset!$M532/dataset!$L532*100</f>
        <v>41.321803582458308</v>
      </c>
      <c r="O532" s="25">
        <f>dataset!$K532*dataset!$G532</f>
        <v>35150</v>
      </c>
      <c r="P532"/>
      <c r="T532">
        <f>dataset!$K532*dataset!$G532</f>
        <v>35150</v>
      </c>
    </row>
    <row r="533" spans="1:20" x14ac:dyDescent="0.35">
      <c r="A533" s="2">
        <v>45777</v>
      </c>
      <c r="B533">
        <f t="shared" si="17"/>
        <v>30</v>
      </c>
      <c r="C533" t="s">
        <v>29</v>
      </c>
      <c r="D533" t="s">
        <v>46</v>
      </c>
      <c r="E533" t="s">
        <v>17</v>
      </c>
      <c r="F533" t="s">
        <v>40</v>
      </c>
      <c r="G533">
        <v>26</v>
      </c>
      <c r="H533">
        <v>2101</v>
      </c>
      <c r="I533" t="s">
        <v>622</v>
      </c>
      <c r="J533" t="s">
        <v>15</v>
      </c>
      <c r="K533">
        <v>1100</v>
      </c>
      <c r="L533" s="7">
        <f t="shared" si="16"/>
        <v>54626</v>
      </c>
      <c r="M533" s="7">
        <f>dataset!$L533-T533</f>
        <v>26026</v>
      </c>
      <c r="N533" s="7">
        <f>dataset!$M533/dataset!$L533*100</f>
        <v>47.643979057591622</v>
      </c>
      <c r="O533" s="25">
        <f>dataset!$K533*dataset!$G533</f>
        <v>28600</v>
      </c>
      <c r="P533"/>
      <c r="T533">
        <f>dataset!$K533*dataset!$G533</f>
        <v>28600</v>
      </c>
    </row>
    <row r="534" spans="1:20" x14ac:dyDescent="0.35">
      <c r="A534" s="2">
        <v>45766</v>
      </c>
      <c r="B534">
        <f t="shared" si="17"/>
        <v>19</v>
      </c>
      <c r="C534" t="s">
        <v>26</v>
      </c>
      <c r="D534" t="s">
        <v>16</v>
      </c>
      <c r="E534" t="s">
        <v>67</v>
      </c>
      <c r="F534" t="s">
        <v>40</v>
      </c>
      <c r="G534">
        <v>25</v>
      </c>
      <c r="H534">
        <v>1046</v>
      </c>
      <c r="I534" t="s">
        <v>623</v>
      </c>
      <c r="J534" t="s">
        <v>15</v>
      </c>
      <c r="K534">
        <v>800</v>
      </c>
      <c r="L534" s="7">
        <f t="shared" si="16"/>
        <v>26150</v>
      </c>
      <c r="M534" s="7">
        <f>dataset!$L534-T534</f>
        <v>6150</v>
      </c>
      <c r="N534" s="7">
        <f>dataset!$M534/dataset!$L534*100</f>
        <v>23.518164435946463</v>
      </c>
      <c r="O534" s="25">
        <f>dataset!$K534*dataset!$G534</f>
        <v>20000</v>
      </c>
      <c r="P534"/>
      <c r="T534">
        <f>dataset!$K534*dataset!$G534</f>
        <v>20000</v>
      </c>
    </row>
    <row r="535" spans="1:20" x14ac:dyDescent="0.35">
      <c r="A535" s="2">
        <v>45779</v>
      </c>
      <c r="B535">
        <f t="shared" si="17"/>
        <v>2</v>
      </c>
      <c r="C535" t="s">
        <v>29</v>
      </c>
      <c r="D535" t="s">
        <v>46</v>
      </c>
      <c r="E535" t="s">
        <v>54</v>
      </c>
      <c r="F535" t="s">
        <v>52</v>
      </c>
      <c r="G535">
        <v>43</v>
      </c>
      <c r="H535">
        <v>371</v>
      </c>
      <c r="I535" t="s">
        <v>102</v>
      </c>
      <c r="J535" t="s">
        <v>25</v>
      </c>
      <c r="K535">
        <v>200</v>
      </c>
      <c r="L535" s="7">
        <f t="shared" si="16"/>
        <v>15953</v>
      </c>
      <c r="M535" s="7">
        <f>dataset!$L535-T535</f>
        <v>7353</v>
      </c>
      <c r="N535" s="7">
        <f>dataset!$M535/dataset!$L535*100</f>
        <v>46.091644204851754</v>
      </c>
      <c r="O535" s="25">
        <f>dataset!$K535*dataset!$G535</f>
        <v>8600</v>
      </c>
      <c r="P535"/>
      <c r="T535">
        <f>dataset!$K535*dataset!$G535</f>
        <v>8600</v>
      </c>
    </row>
    <row r="536" spans="1:20" x14ac:dyDescent="0.35">
      <c r="A536" s="2">
        <v>45832</v>
      </c>
      <c r="B536">
        <f t="shared" si="17"/>
        <v>24</v>
      </c>
      <c r="C536" t="s">
        <v>20</v>
      </c>
      <c r="D536" t="s">
        <v>11</v>
      </c>
      <c r="E536" t="s">
        <v>54</v>
      </c>
      <c r="F536" t="s">
        <v>18</v>
      </c>
      <c r="G536">
        <v>21</v>
      </c>
      <c r="H536">
        <v>2983</v>
      </c>
      <c r="I536" t="s">
        <v>624</v>
      </c>
      <c r="J536" t="s">
        <v>15</v>
      </c>
      <c r="K536">
        <v>2150</v>
      </c>
      <c r="L536" s="7">
        <f t="shared" si="16"/>
        <v>62643</v>
      </c>
      <c r="M536" s="7">
        <f>dataset!$L536-T536</f>
        <v>17493</v>
      </c>
      <c r="N536" s="7">
        <f>dataset!$M536/dataset!$L536*100</f>
        <v>27.924907810928595</v>
      </c>
      <c r="O536" s="25">
        <f>dataset!$K536*dataset!$G536</f>
        <v>45150</v>
      </c>
      <c r="P536"/>
      <c r="T536">
        <f>dataset!$K536*dataset!$G536</f>
        <v>45150</v>
      </c>
    </row>
    <row r="537" spans="1:20" x14ac:dyDescent="0.35">
      <c r="A537" s="2">
        <v>45769</v>
      </c>
      <c r="B537">
        <f t="shared" si="17"/>
        <v>22</v>
      </c>
      <c r="C537" t="s">
        <v>35</v>
      </c>
      <c r="D537" t="s">
        <v>66</v>
      </c>
      <c r="E537" t="s">
        <v>42</v>
      </c>
      <c r="F537" t="s">
        <v>37</v>
      </c>
      <c r="G537">
        <v>44</v>
      </c>
      <c r="H537">
        <v>2380</v>
      </c>
      <c r="I537" t="s">
        <v>625</v>
      </c>
      <c r="J537" t="s">
        <v>15</v>
      </c>
      <c r="K537">
        <v>1950</v>
      </c>
      <c r="L537" s="7">
        <f t="shared" si="16"/>
        <v>104720</v>
      </c>
      <c r="M537" s="7">
        <f>dataset!$L537-T537</f>
        <v>18920</v>
      </c>
      <c r="N537" s="7">
        <f>dataset!$M537/dataset!$L537*100</f>
        <v>18.067226890756302</v>
      </c>
      <c r="O537" s="25">
        <f>dataset!$K537*dataset!$G537</f>
        <v>85800</v>
      </c>
      <c r="P537"/>
      <c r="T537">
        <f>dataset!$K537*dataset!$G537</f>
        <v>85800</v>
      </c>
    </row>
    <row r="538" spans="1:20" x14ac:dyDescent="0.35">
      <c r="A538" s="2">
        <v>45751</v>
      </c>
      <c r="B538">
        <f t="shared" si="17"/>
        <v>4</v>
      </c>
      <c r="C538" t="s">
        <v>26</v>
      </c>
      <c r="D538" t="s">
        <v>66</v>
      </c>
      <c r="E538" t="s">
        <v>67</v>
      </c>
      <c r="F538" t="s">
        <v>56</v>
      </c>
      <c r="G538">
        <v>25</v>
      </c>
      <c r="H538">
        <v>1225</v>
      </c>
      <c r="I538" t="s">
        <v>626</v>
      </c>
      <c r="J538" t="s">
        <v>15</v>
      </c>
      <c r="K538">
        <v>650</v>
      </c>
      <c r="L538" s="7">
        <f t="shared" si="16"/>
        <v>30625</v>
      </c>
      <c r="M538" s="7">
        <f>dataset!$L538-T538</f>
        <v>14375</v>
      </c>
      <c r="N538" s="7">
        <f>dataset!$M538/dataset!$L538*100</f>
        <v>46.938775510204081</v>
      </c>
      <c r="O538" s="25">
        <f>dataset!$K538*dataset!$G538</f>
        <v>16250</v>
      </c>
      <c r="P538"/>
      <c r="T538">
        <f>dataset!$K538*dataset!$G538</f>
        <v>16250</v>
      </c>
    </row>
    <row r="539" spans="1:20" x14ac:dyDescent="0.35">
      <c r="A539" s="2">
        <v>45767</v>
      </c>
      <c r="B539">
        <f t="shared" si="17"/>
        <v>20</v>
      </c>
      <c r="C539" t="s">
        <v>29</v>
      </c>
      <c r="D539" t="s">
        <v>27</v>
      </c>
      <c r="E539" t="s">
        <v>12</v>
      </c>
      <c r="F539" t="s">
        <v>37</v>
      </c>
      <c r="G539">
        <v>35</v>
      </c>
      <c r="H539">
        <v>2730</v>
      </c>
      <c r="I539" t="s">
        <v>627</v>
      </c>
      <c r="J539" t="s">
        <v>15</v>
      </c>
      <c r="K539">
        <v>1700</v>
      </c>
      <c r="L539" s="7">
        <f t="shared" si="16"/>
        <v>95550</v>
      </c>
      <c r="M539" s="7">
        <f>dataset!$L539-T539</f>
        <v>36050</v>
      </c>
      <c r="N539" s="7">
        <f>dataset!$M539/dataset!$L539*100</f>
        <v>37.72893772893773</v>
      </c>
      <c r="O539" s="25">
        <f>dataset!$K539*dataset!$G539</f>
        <v>59500</v>
      </c>
      <c r="P539"/>
      <c r="T539">
        <f>dataset!$K539*dataset!$G539</f>
        <v>59500</v>
      </c>
    </row>
    <row r="540" spans="1:20" x14ac:dyDescent="0.35">
      <c r="A540" s="2">
        <v>45836</v>
      </c>
      <c r="B540">
        <f t="shared" si="17"/>
        <v>28</v>
      </c>
      <c r="C540" t="s">
        <v>35</v>
      </c>
      <c r="D540" t="s">
        <v>27</v>
      </c>
      <c r="E540" t="s">
        <v>39</v>
      </c>
      <c r="F540" t="s">
        <v>52</v>
      </c>
      <c r="G540">
        <v>26</v>
      </c>
      <c r="H540">
        <v>1226</v>
      </c>
      <c r="I540" t="s">
        <v>628</v>
      </c>
      <c r="J540" t="s">
        <v>25</v>
      </c>
      <c r="K540">
        <v>1050</v>
      </c>
      <c r="L540" s="7">
        <f t="shared" si="16"/>
        <v>31876</v>
      </c>
      <c r="M540" s="7">
        <f>dataset!$L540-T540</f>
        <v>4576</v>
      </c>
      <c r="N540" s="7">
        <f>dataset!$M540/dataset!$L540*100</f>
        <v>14.355628058727568</v>
      </c>
      <c r="O540" s="25">
        <f>dataset!$K540*dataset!$G540</f>
        <v>27300</v>
      </c>
      <c r="P540"/>
      <c r="T540">
        <f>dataset!$K540*dataset!$G540</f>
        <v>27300</v>
      </c>
    </row>
    <row r="541" spans="1:20" x14ac:dyDescent="0.35">
      <c r="A541" s="2">
        <v>45801</v>
      </c>
      <c r="B541">
        <f t="shared" si="17"/>
        <v>24</v>
      </c>
      <c r="C541" t="s">
        <v>35</v>
      </c>
      <c r="D541" t="s">
        <v>11</v>
      </c>
      <c r="E541" t="s">
        <v>42</v>
      </c>
      <c r="F541" t="s">
        <v>18</v>
      </c>
      <c r="G541">
        <v>47</v>
      </c>
      <c r="H541">
        <v>2582</v>
      </c>
      <c r="I541" t="s">
        <v>629</v>
      </c>
      <c r="J541" t="s">
        <v>15</v>
      </c>
      <c r="K541">
        <v>2300</v>
      </c>
      <c r="L541" s="7">
        <f t="shared" si="16"/>
        <v>121354</v>
      </c>
      <c r="M541" s="7">
        <f>dataset!$L541-T541</f>
        <v>13254</v>
      </c>
      <c r="N541" s="7">
        <f>dataset!$M541/dataset!$L541*100</f>
        <v>10.921766072811774</v>
      </c>
      <c r="O541" s="25">
        <f>dataset!$K541*dataset!$G541</f>
        <v>108100</v>
      </c>
      <c r="P541"/>
      <c r="T541">
        <f>dataset!$K541*dataset!$G541</f>
        <v>108100</v>
      </c>
    </row>
    <row r="542" spans="1:20" x14ac:dyDescent="0.35">
      <c r="A542" s="2">
        <v>45750</v>
      </c>
      <c r="B542">
        <f t="shared" si="17"/>
        <v>3</v>
      </c>
      <c r="C542" t="s">
        <v>20</v>
      </c>
      <c r="D542" t="s">
        <v>66</v>
      </c>
      <c r="E542" t="s">
        <v>30</v>
      </c>
      <c r="F542" t="s">
        <v>13</v>
      </c>
      <c r="G542">
        <v>22</v>
      </c>
      <c r="H542">
        <v>523</v>
      </c>
      <c r="I542" t="s">
        <v>630</v>
      </c>
      <c r="J542" t="s">
        <v>25</v>
      </c>
      <c r="K542">
        <v>450</v>
      </c>
      <c r="L542" s="7">
        <f t="shared" si="16"/>
        <v>11506</v>
      </c>
      <c r="M542" s="7">
        <f>dataset!$L542-T542</f>
        <v>1606</v>
      </c>
      <c r="N542" s="7">
        <f>dataset!$M542/dataset!$L542*100</f>
        <v>13.957934990439771</v>
      </c>
      <c r="O542" s="25">
        <f>dataset!$K542*dataset!$G542</f>
        <v>9900</v>
      </c>
      <c r="P542"/>
      <c r="T542">
        <f>dataset!$K542*dataset!$G542</f>
        <v>9900</v>
      </c>
    </row>
    <row r="543" spans="1:20" x14ac:dyDescent="0.35">
      <c r="A543" s="2">
        <v>45820</v>
      </c>
      <c r="B543">
        <f t="shared" si="17"/>
        <v>12</v>
      </c>
      <c r="C543" t="s">
        <v>29</v>
      </c>
      <c r="D543" t="s">
        <v>11</v>
      </c>
      <c r="E543" t="s">
        <v>30</v>
      </c>
      <c r="F543" t="s">
        <v>13</v>
      </c>
      <c r="G543">
        <v>21</v>
      </c>
      <c r="H543">
        <v>2183</v>
      </c>
      <c r="I543" t="s">
        <v>631</v>
      </c>
      <c r="J543" t="s">
        <v>15</v>
      </c>
      <c r="K543">
        <v>1800</v>
      </c>
      <c r="L543" s="7">
        <f t="shared" si="16"/>
        <v>45843</v>
      </c>
      <c r="M543" s="7">
        <f>dataset!$L543-T543</f>
        <v>8043</v>
      </c>
      <c r="N543" s="7">
        <f>dataset!$M543/dataset!$L543*100</f>
        <v>17.544663307375171</v>
      </c>
      <c r="O543" s="25">
        <f>dataset!$K543*dataset!$G543</f>
        <v>37800</v>
      </c>
      <c r="P543"/>
      <c r="T543">
        <f>dataset!$K543*dataset!$G543</f>
        <v>37800</v>
      </c>
    </row>
    <row r="544" spans="1:20" x14ac:dyDescent="0.35">
      <c r="A544" s="2">
        <v>45761</v>
      </c>
      <c r="B544">
        <f t="shared" si="17"/>
        <v>14</v>
      </c>
      <c r="C544" t="s">
        <v>20</v>
      </c>
      <c r="D544" t="s">
        <v>11</v>
      </c>
      <c r="E544" t="s">
        <v>30</v>
      </c>
      <c r="F544" t="s">
        <v>37</v>
      </c>
      <c r="G544">
        <v>46</v>
      </c>
      <c r="H544">
        <v>2924</v>
      </c>
      <c r="I544" t="s">
        <v>632</v>
      </c>
      <c r="J544" t="s">
        <v>25</v>
      </c>
      <c r="K544">
        <v>2500</v>
      </c>
      <c r="L544" s="7">
        <f t="shared" si="16"/>
        <v>134504</v>
      </c>
      <c r="M544" s="7">
        <f>dataset!$L544-T544</f>
        <v>19504</v>
      </c>
      <c r="N544" s="7">
        <f>dataset!$M544/dataset!$L544*100</f>
        <v>14.500683994528044</v>
      </c>
      <c r="O544" s="25">
        <f>dataset!$K544*dataset!$G544</f>
        <v>115000</v>
      </c>
      <c r="P544"/>
      <c r="T544">
        <f>dataset!$K544*dataset!$G544</f>
        <v>115000</v>
      </c>
    </row>
    <row r="545" spans="1:20" x14ac:dyDescent="0.35">
      <c r="A545" s="2">
        <v>45782</v>
      </c>
      <c r="B545">
        <f t="shared" si="17"/>
        <v>5</v>
      </c>
      <c r="C545" t="s">
        <v>26</v>
      </c>
      <c r="D545" t="s">
        <v>27</v>
      </c>
      <c r="E545" t="s">
        <v>64</v>
      </c>
      <c r="F545" t="s">
        <v>59</v>
      </c>
      <c r="G545">
        <v>8</v>
      </c>
      <c r="H545">
        <v>2714</v>
      </c>
      <c r="I545" t="s">
        <v>633</v>
      </c>
      <c r="J545" t="s">
        <v>15</v>
      </c>
      <c r="K545">
        <v>1750</v>
      </c>
      <c r="L545" s="7">
        <f t="shared" si="16"/>
        <v>21712</v>
      </c>
      <c r="M545" s="7">
        <f>dataset!$L545-T545</f>
        <v>7712</v>
      </c>
      <c r="N545" s="7">
        <f>dataset!$M545/dataset!$L545*100</f>
        <v>35.519528371407517</v>
      </c>
      <c r="O545" s="25">
        <f>dataset!$K545*dataset!$G545</f>
        <v>14000</v>
      </c>
      <c r="P545"/>
      <c r="T545">
        <f>dataset!$K545*dataset!$G545</f>
        <v>14000</v>
      </c>
    </row>
    <row r="546" spans="1:20" x14ac:dyDescent="0.35">
      <c r="A546" s="2">
        <v>45820</v>
      </c>
      <c r="B546">
        <f t="shared" si="17"/>
        <v>12</v>
      </c>
      <c r="C546" t="s">
        <v>29</v>
      </c>
      <c r="D546" t="s">
        <v>33</v>
      </c>
      <c r="E546" t="s">
        <v>12</v>
      </c>
      <c r="F546" t="s">
        <v>31</v>
      </c>
      <c r="G546">
        <v>33</v>
      </c>
      <c r="H546">
        <v>2190</v>
      </c>
      <c r="I546" t="s">
        <v>103</v>
      </c>
      <c r="J546" t="s">
        <v>15</v>
      </c>
      <c r="K546">
        <v>1950</v>
      </c>
      <c r="L546" s="7">
        <f t="shared" si="16"/>
        <v>72270</v>
      </c>
      <c r="M546" s="7">
        <f>dataset!$L546-T546</f>
        <v>7920</v>
      </c>
      <c r="N546" s="7">
        <f>dataset!$M546/dataset!$L546*100</f>
        <v>10.95890410958904</v>
      </c>
      <c r="O546" s="25">
        <f>dataset!$K546*dataset!$G546</f>
        <v>64350</v>
      </c>
      <c r="P546"/>
      <c r="T546">
        <f>dataset!$K546*dataset!$G546</f>
        <v>64350</v>
      </c>
    </row>
    <row r="547" spans="1:20" x14ac:dyDescent="0.35">
      <c r="A547" s="2">
        <v>45748</v>
      </c>
      <c r="B547">
        <f t="shared" si="17"/>
        <v>1</v>
      </c>
      <c r="C547" t="s">
        <v>35</v>
      </c>
      <c r="D547" t="s">
        <v>33</v>
      </c>
      <c r="E547" t="s">
        <v>12</v>
      </c>
      <c r="F547" t="s">
        <v>56</v>
      </c>
      <c r="G547">
        <v>29</v>
      </c>
      <c r="H547">
        <v>2827</v>
      </c>
      <c r="I547" t="s">
        <v>634</v>
      </c>
      <c r="J547" t="s">
        <v>15</v>
      </c>
      <c r="K547">
        <v>1650</v>
      </c>
      <c r="L547" s="7">
        <f t="shared" si="16"/>
        <v>81983</v>
      </c>
      <c r="M547" s="7">
        <f>dataset!$L547-T547</f>
        <v>34133</v>
      </c>
      <c r="N547" s="7">
        <f>dataset!$M547/dataset!$L547*100</f>
        <v>41.634241245136188</v>
      </c>
      <c r="O547" s="25">
        <f>dataset!$K547*dataset!$G547</f>
        <v>47850</v>
      </c>
      <c r="P547"/>
      <c r="T547">
        <f>dataset!$K547*dataset!$G547</f>
        <v>47850</v>
      </c>
    </row>
    <row r="548" spans="1:20" x14ac:dyDescent="0.35">
      <c r="A548" s="2">
        <v>45755</v>
      </c>
      <c r="B548">
        <f t="shared" si="17"/>
        <v>8</v>
      </c>
      <c r="C548" t="s">
        <v>29</v>
      </c>
      <c r="D548" t="s">
        <v>66</v>
      </c>
      <c r="E548" t="s">
        <v>64</v>
      </c>
      <c r="F548" t="s">
        <v>52</v>
      </c>
      <c r="G548">
        <v>41</v>
      </c>
      <c r="H548">
        <v>1902</v>
      </c>
      <c r="I548" t="s">
        <v>635</v>
      </c>
      <c r="J548" t="s">
        <v>15</v>
      </c>
      <c r="K548">
        <v>1100</v>
      </c>
      <c r="L548" s="7">
        <f t="shared" si="16"/>
        <v>77982</v>
      </c>
      <c r="M548" s="7">
        <f>dataset!$L548-T548</f>
        <v>32882</v>
      </c>
      <c r="N548" s="7">
        <f>dataset!$M548/dataset!$L548*100</f>
        <v>42.166140904311249</v>
      </c>
      <c r="O548" s="25">
        <f>dataset!$K548*dataset!$G548</f>
        <v>45100</v>
      </c>
      <c r="P548"/>
      <c r="T548">
        <f>dataset!$K548*dataset!$G548</f>
        <v>45100</v>
      </c>
    </row>
    <row r="549" spans="1:20" x14ac:dyDescent="0.35">
      <c r="A549" s="2">
        <v>45773</v>
      </c>
      <c r="B549">
        <f t="shared" si="17"/>
        <v>26</v>
      </c>
      <c r="C549" t="s">
        <v>35</v>
      </c>
      <c r="D549" t="s">
        <v>33</v>
      </c>
      <c r="E549" t="s">
        <v>30</v>
      </c>
      <c r="F549" t="s">
        <v>23</v>
      </c>
      <c r="G549">
        <v>16</v>
      </c>
      <c r="H549">
        <v>2205</v>
      </c>
      <c r="I549" t="s">
        <v>636</v>
      </c>
      <c r="J549" t="s">
        <v>25</v>
      </c>
      <c r="K549">
        <v>1800</v>
      </c>
      <c r="L549" s="7">
        <f t="shared" si="16"/>
        <v>35280</v>
      </c>
      <c r="M549" s="7">
        <f>dataset!$L549-T549</f>
        <v>6480</v>
      </c>
      <c r="N549" s="7">
        <f>dataset!$M549/dataset!$L549*100</f>
        <v>18.367346938775512</v>
      </c>
      <c r="O549" s="25">
        <f>dataset!$K549*dataset!$G549</f>
        <v>28800</v>
      </c>
      <c r="P549"/>
      <c r="T549">
        <f>dataset!$K549*dataset!$G549</f>
        <v>28800</v>
      </c>
    </row>
    <row r="550" spans="1:20" x14ac:dyDescent="0.35">
      <c r="A550" s="2">
        <v>45775</v>
      </c>
      <c r="B550">
        <f t="shared" si="17"/>
        <v>28</v>
      </c>
      <c r="C550" t="s">
        <v>29</v>
      </c>
      <c r="D550" t="s">
        <v>33</v>
      </c>
      <c r="E550" t="s">
        <v>54</v>
      </c>
      <c r="F550" t="s">
        <v>56</v>
      </c>
      <c r="G550">
        <v>22</v>
      </c>
      <c r="H550">
        <v>2703</v>
      </c>
      <c r="I550" t="s">
        <v>637</v>
      </c>
      <c r="J550" t="s">
        <v>15</v>
      </c>
      <c r="K550">
        <v>1550</v>
      </c>
      <c r="L550" s="7">
        <f t="shared" si="16"/>
        <v>59466</v>
      </c>
      <c r="M550" s="7">
        <f>dataset!$L550-T550</f>
        <v>25366</v>
      </c>
      <c r="N550" s="7">
        <f>dataset!$M550/dataset!$L550*100</f>
        <v>42.656307806141328</v>
      </c>
      <c r="O550" s="25">
        <f>dataset!$K550*dataset!$G550</f>
        <v>34100</v>
      </c>
      <c r="P550"/>
      <c r="T550">
        <f>dataset!$K550*dataset!$G550</f>
        <v>34100</v>
      </c>
    </row>
    <row r="551" spans="1:20" x14ac:dyDescent="0.35">
      <c r="A551" s="2">
        <v>45771</v>
      </c>
      <c r="B551">
        <f t="shared" si="17"/>
        <v>24</v>
      </c>
      <c r="C551" t="s">
        <v>26</v>
      </c>
      <c r="D551" t="s">
        <v>66</v>
      </c>
      <c r="E551" t="s">
        <v>39</v>
      </c>
      <c r="F551" t="s">
        <v>47</v>
      </c>
      <c r="G551">
        <v>21</v>
      </c>
      <c r="H551">
        <v>1767</v>
      </c>
      <c r="I551" t="s">
        <v>638</v>
      </c>
      <c r="J551" t="s">
        <v>25</v>
      </c>
      <c r="K551">
        <v>1100</v>
      </c>
      <c r="L551" s="7">
        <f t="shared" si="16"/>
        <v>37107</v>
      </c>
      <c r="M551" s="7">
        <f>dataset!$L551-T551</f>
        <v>14007</v>
      </c>
      <c r="N551" s="7">
        <f>dataset!$M551/dataset!$L551*100</f>
        <v>37.747594793435205</v>
      </c>
      <c r="O551" s="25">
        <f>dataset!$K551*dataset!$G551</f>
        <v>23100</v>
      </c>
      <c r="P551"/>
      <c r="T551">
        <f>dataset!$K551*dataset!$G551</f>
        <v>23100</v>
      </c>
    </row>
    <row r="552" spans="1:20" x14ac:dyDescent="0.35">
      <c r="A552" s="2">
        <v>45804</v>
      </c>
      <c r="B552">
        <f t="shared" si="17"/>
        <v>27</v>
      </c>
      <c r="C552" t="s">
        <v>29</v>
      </c>
      <c r="D552" t="s">
        <v>36</v>
      </c>
      <c r="E552" t="s">
        <v>67</v>
      </c>
      <c r="F552" t="s">
        <v>37</v>
      </c>
      <c r="G552">
        <v>37</v>
      </c>
      <c r="H552">
        <v>2789</v>
      </c>
      <c r="I552" t="s">
        <v>639</v>
      </c>
      <c r="J552" t="s">
        <v>15</v>
      </c>
      <c r="K552">
        <v>1950</v>
      </c>
      <c r="L552" s="7">
        <f t="shared" si="16"/>
        <v>103193</v>
      </c>
      <c r="M552" s="7">
        <f>dataset!$L552-T552</f>
        <v>31043</v>
      </c>
      <c r="N552" s="7">
        <f>dataset!$M552/dataset!$L552*100</f>
        <v>30.082466833990679</v>
      </c>
      <c r="O552" s="25">
        <f>dataset!$K552*dataset!$G552</f>
        <v>72150</v>
      </c>
      <c r="P552"/>
      <c r="T552">
        <f>dataset!$K552*dataset!$G552</f>
        <v>72150</v>
      </c>
    </row>
    <row r="553" spans="1:20" x14ac:dyDescent="0.35">
      <c r="A553" s="2">
        <v>45792</v>
      </c>
      <c r="B553">
        <f t="shared" si="17"/>
        <v>15</v>
      </c>
      <c r="C553" t="s">
        <v>10</v>
      </c>
      <c r="D553" t="s">
        <v>16</v>
      </c>
      <c r="E553" t="s">
        <v>30</v>
      </c>
      <c r="F553" t="s">
        <v>59</v>
      </c>
      <c r="G553">
        <v>27</v>
      </c>
      <c r="H553">
        <v>2020</v>
      </c>
      <c r="I553" t="s">
        <v>640</v>
      </c>
      <c r="J553" t="s">
        <v>15</v>
      </c>
      <c r="K553">
        <v>1800</v>
      </c>
      <c r="L553" s="7">
        <f t="shared" si="16"/>
        <v>54540</v>
      </c>
      <c r="M553" s="7">
        <f>dataset!$L553-T553</f>
        <v>5940</v>
      </c>
      <c r="N553" s="7">
        <f>dataset!$M553/dataset!$L553*100</f>
        <v>10.891089108910892</v>
      </c>
      <c r="O553" s="25">
        <f>dataset!$K553*dataset!$G553</f>
        <v>48600</v>
      </c>
      <c r="P553"/>
      <c r="T553">
        <f>dataset!$K553*dataset!$G553</f>
        <v>48600</v>
      </c>
    </row>
    <row r="554" spans="1:20" x14ac:dyDescent="0.35">
      <c r="A554" s="2">
        <v>45837</v>
      </c>
      <c r="B554">
        <f t="shared" si="17"/>
        <v>29</v>
      </c>
      <c r="C554" t="s">
        <v>26</v>
      </c>
      <c r="D554" t="s">
        <v>27</v>
      </c>
      <c r="E554" t="s">
        <v>67</v>
      </c>
      <c r="F554" t="s">
        <v>37</v>
      </c>
      <c r="G554">
        <v>8</v>
      </c>
      <c r="H554">
        <v>2493</v>
      </c>
      <c r="I554" t="s">
        <v>641</v>
      </c>
      <c r="J554" t="s">
        <v>15</v>
      </c>
      <c r="K554">
        <v>2200</v>
      </c>
      <c r="L554" s="7">
        <f t="shared" si="16"/>
        <v>19944</v>
      </c>
      <c r="M554" s="7">
        <f>dataset!$L554-T554</f>
        <v>2344</v>
      </c>
      <c r="N554" s="7">
        <f>dataset!$M554/dataset!$L554*100</f>
        <v>11.752908142799839</v>
      </c>
      <c r="O554" s="25">
        <f>dataset!$K554*dataset!$G554</f>
        <v>17600</v>
      </c>
      <c r="P554"/>
      <c r="T554">
        <f>dataset!$K554*dataset!$G554</f>
        <v>17600</v>
      </c>
    </row>
    <row r="555" spans="1:20" x14ac:dyDescent="0.35">
      <c r="A555" s="2">
        <v>45775</v>
      </c>
      <c r="B555">
        <f t="shared" si="17"/>
        <v>28</v>
      </c>
      <c r="C555" t="s">
        <v>35</v>
      </c>
      <c r="D555" t="s">
        <v>16</v>
      </c>
      <c r="E555" t="s">
        <v>42</v>
      </c>
      <c r="F555" t="s">
        <v>47</v>
      </c>
      <c r="G555">
        <v>37</v>
      </c>
      <c r="H555">
        <v>769</v>
      </c>
      <c r="I555" t="s">
        <v>642</v>
      </c>
      <c r="J555" t="s">
        <v>15</v>
      </c>
      <c r="K555">
        <v>550</v>
      </c>
      <c r="L555" s="7">
        <f t="shared" si="16"/>
        <v>28453</v>
      </c>
      <c r="M555" s="7">
        <f>dataset!$L555-T555</f>
        <v>8103</v>
      </c>
      <c r="N555" s="7">
        <f>dataset!$M555/dataset!$L555*100</f>
        <v>28.478543563068921</v>
      </c>
      <c r="O555" s="25">
        <f>dataset!$K555*dataset!$G555</f>
        <v>20350</v>
      </c>
      <c r="P555"/>
      <c r="T555">
        <f>dataset!$K555*dataset!$G555</f>
        <v>20350</v>
      </c>
    </row>
    <row r="556" spans="1:20" x14ac:dyDescent="0.35">
      <c r="A556" s="2">
        <v>45811</v>
      </c>
      <c r="B556">
        <f t="shared" si="17"/>
        <v>3</v>
      </c>
      <c r="C556" t="s">
        <v>26</v>
      </c>
      <c r="D556" t="s">
        <v>11</v>
      </c>
      <c r="E556" t="s">
        <v>75</v>
      </c>
      <c r="F556" t="s">
        <v>47</v>
      </c>
      <c r="G556">
        <v>29</v>
      </c>
      <c r="H556">
        <v>2478</v>
      </c>
      <c r="I556" t="s">
        <v>643</v>
      </c>
      <c r="J556" t="s">
        <v>15</v>
      </c>
      <c r="K556">
        <v>1250</v>
      </c>
      <c r="L556" s="7">
        <f t="shared" si="16"/>
        <v>71862</v>
      </c>
      <c r="M556" s="7">
        <f>dataset!$L556-T556</f>
        <v>35612</v>
      </c>
      <c r="N556" s="7">
        <f>dataset!$M556/dataset!$L556*100</f>
        <v>49.556093623890234</v>
      </c>
      <c r="O556" s="25">
        <f>dataset!$K556*dataset!$G556</f>
        <v>36250</v>
      </c>
      <c r="P556"/>
      <c r="T556">
        <f>dataset!$K556*dataset!$G556</f>
        <v>36250</v>
      </c>
    </row>
    <row r="557" spans="1:20" x14ac:dyDescent="0.35">
      <c r="A557" s="2">
        <v>45764</v>
      </c>
      <c r="B557">
        <f t="shared" si="17"/>
        <v>17</v>
      </c>
      <c r="C557" t="s">
        <v>10</v>
      </c>
      <c r="D557" t="s">
        <v>33</v>
      </c>
      <c r="E557" t="s">
        <v>17</v>
      </c>
      <c r="F557" t="s">
        <v>31</v>
      </c>
      <c r="G557">
        <v>33</v>
      </c>
      <c r="H557">
        <v>2312</v>
      </c>
      <c r="I557" t="s">
        <v>34</v>
      </c>
      <c r="J557" t="s">
        <v>25</v>
      </c>
      <c r="K557">
        <v>1550</v>
      </c>
      <c r="L557" s="7">
        <f t="shared" si="16"/>
        <v>76296</v>
      </c>
      <c r="M557" s="7">
        <f>dataset!$L557-T557</f>
        <v>25146</v>
      </c>
      <c r="N557" s="7">
        <f>dataset!$M557/dataset!$L557*100</f>
        <v>32.958477508650518</v>
      </c>
      <c r="O557" s="25">
        <f>dataset!$K557*dataset!$G557</f>
        <v>51150</v>
      </c>
      <c r="P557"/>
      <c r="T557">
        <f>dataset!$K557*dataset!$G557</f>
        <v>51150</v>
      </c>
    </row>
    <row r="558" spans="1:20" x14ac:dyDescent="0.35">
      <c r="A558" s="2">
        <v>45763</v>
      </c>
      <c r="B558">
        <f t="shared" si="17"/>
        <v>16</v>
      </c>
      <c r="C558" t="s">
        <v>29</v>
      </c>
      <c r="D558" t="s">
        <v>27</v>
      </c>
      <c r="E558" t="s">
        <v>64</v>
      </c>
      <c r="F558" t="s">
        <v>56</v>
      </c>
      <c r="G558">
        <v>50</v>
      </c>
      <c r="H558">
        <v>2207</v>
      </c>
      <c r="I558" t="s">
        <v>104</v>
      </c>
      <c r="J558" t="s">
        <v>25</v>
      </c>
      <c r="K558">
        <v>1650</v>
      </c>
      <c r="L558" s="7">
        <f t="shared" si="16"/>
        <v>110350</v>
      </c>
      <c r="M558" s="7">
        <f>dataset!$L558-T558</f>
        <v>27850</v>
      </c>
      <c r="N558" s="7">
        <f>dataset!$M558/dataset!$L558*100</f>
        <v>25.237879474399637</v>
      </c>
      <c r="O558" s="25">
        <f>dataset!$K558*dataset!$G558</f>
        <v>82500</v>
      </c>
      <c r="P558"/>
      <c r="T558">
        <f>dataset!$K558*dataset!$G558</f>
        <v>82500</v>
      </c>
    </row>
    <row r="559" spans="1:20" x14ac:dyDescent="0.35">
      <c r="A559" s="2">
        <v>45833</v>
      </c>
      <c r="B559">
        <f t="shared" si="17"/>
        <v>25</v>
      </c>
      <c r="C559" t="s">
        <v>26</v>
      </c>
      <c r="D559" t="s">
        <v>46</v>
      </c>
      <c r="E559" t="s">
        <v>12</v>
      </c>
      <c r="F559" t="s">
        <v>13</v>
      </c>
      <c r="G559">
        <v>21</v>
      </c>
      <c r="H559">
        <v>1527</v>
      </c>
      <c r="I559" t="s">
        <v>644</v>
      </c>
      <c r="J559" t="s">
        <v>25</v>
      </c>
      <c r="K559">
        <v>1250</v>
      </c>
      <c r="L559" s="7">
        <f t="shared" si="16"/>
        <v>32067</v>
      </c>
      <c r="M559" s="7">
        <f>dataset!$L559-T559</f>
        <v>5817</v>
      </c>
      <c r="N559" s="7">
        <f>dataset!$M559/dataset!$L559*100</f>
        <v>18.140144073346431</v>
      </c>
      <c r="O559" s="25">
        <f>dataset!$K559*dataset!$G559</f>
        <v>26250</v>
      </c>
      <c r="P559"/>
      <c r="T559">
        <f>dataset!$K559*dataset!$G559</f>
        <v>26250</v>
      </c>
    </row>
    <row r="560" spans="1:20" x14ac:dyDescent="0.35">
      <c r="A560" s="2">
        <v>45790</v>
      </c>
      <c r="B560">
        <f t="shared" si="17"/>
        <v>13</v>
      </c>
      <c r="C560" t="s">
        <v>26</v>
      </c>
      <c r="D560" t="s">
        <v>66</v>
      </c>
      <c r="E560" t="s">
        <v>12</v>
      </c>
      <c r="F560" t="s">
        <v>23</v>
      </c>
      <c r="G560">
        <v>27</v>
      </c>
      <c r="H560">
        <v>626</v>
      </c>
      <c r="I560" t="s">
        <v>645</v>
      </c>
      <c r="J560" t="s">
        <v>25</v>
      </c>
      <c r="K560">
        <v>550</v>
      </c>
      <c r="L560" s="7">
        <f t="shared" si="16"/>
        <v>16902</v>
      </c>
      <c r="M560" s="7">
        <f>dataset!$L560-T560</f>
        <v>2052</v>
      </c>
      <c r="N560" s="7">
        <f>dataset!$M560/dataset!$L560*100</f>
        <v>12.140575079872203</v>
      </c>
      <c r="O560" s="25">
        <f>dataset!$K560*dataset!$G560</f>
        <v>14850</v>
      </c>
      <c r="P560"/>
      <c r="T560">
        <f>dataset!$K560*dataset!$G560</f>
        <v>14850</v>
      </c>
    </row>
    <row r="561" spans="1:20" x14ac:dyDescent="0.35">
      <c r="A561" s="2">
        <v>45826</v>
      </c>
      <c r="B561">
        <f t="shared" si="17"/>
        <v>18</v>
      </c>
      <c r="C561" t="s">
        <v>29</v>
      </c>
      <c r="D561" t="s">
        <v>36</v>
      </c>
      <c r="E561" t="s">
        <v>30</v>
      </c>
      <c r="F561" t="s">
        <v>40</v>
      </c>
      <c r="G561">
        <v>10</v>
      </c>
      <c r="H561">
        <v>2560</v>
      </c>
      <c r="I561" t="s">
        <v>646</v>
      </c>
      <c r="J561" t="s">
        <v>15</v>
      </c>
      <c r="K561">
        <v>1650</v>
      </c>
      <c r="L561" s="7">
        <f t="shared" si="16"/>
        <v>25600</v>
      </c>
      <c r="M561" s="7">
        <f>dataset!$L561-T561</f>
        <v>9100</v>
      </c>
      <c r="N561" s="7">
        <f>dataset!$M561/dataset!$L561*100</f>
        <v>35.546875</v>
      </c>
      <c r="O561" s="25">
        <f>dataset!$K561*dataset!$G561</f>
        <v>16500</v>
      </c>
      <c r="P561"/>
      <c r="T561">
        <f>dataset!$K561*dataset!$G561</f>
        <v>16500</v>
      </c>
    </row>
    <row r="562" spans="1:20" x14ac:dyDescent="0.35">
      <c r="A562" s="2">
        <v>45826</v>
      </c>
      <c r="B562">
        <f t="shared" si="17"/>
        <v>18</v>
      </c>
      <c r="C562" t="s">
        <v>35</v>
      </c>
      <c r="D562" t="s">
        <v>33</v>
      </c>
      <c r="E562" t="s">
        <v>64</v>
      </c>
      <c r="F562" t="s">
        <v>18</v>
      </c>
      <c r="G562">
        <v>50</v>
      </c>
      <c r="H562">
        <v>849</v>
      </c>
      <c r="I562" t="s">
        <v>647</v>
      </c>
      <c r="J562" t="s">
        <v>15</v>
      </c>
      <c r="K562">
        <v>450</v>
      </c>
      <c r="L562" s="7">
        <f t="shared" si="16"/>
        <v>42450</v>
      </c>
      <c r="M562" s="7">
        <f>dataset!$L562-T562</f>
        <v>19950</v>
      </c>
      <c r="N562" s="7">
        <f>dataset!$M562/dataset!$L562*100</f>
        <v>46.996466431095406</v>
      </c>
      <c r="O562" s="25">
        <f>dataset!$K562*dataset!$G562</f>
        <v>22500</v>
      </c>
      <c r="P562"/>
      <c r="T562">
        <f>dataset!$K562*dataset!$G562</f>
        <v>22500</v>
      </c>
    </row>
    <row r="563" spans="1:20" x14ac:dyDescent="0.35">
      <c r="A563" s="2">
        <v>45828</v>
      </c>
      <c r="B563">
        <f t="shared" si="17"/>
        <v>20</v>
      </c>
      <c r="C563" t="s">
        <v>10</v>
      </c>
      <c r="D563" t="s">
        <v>11</v>
      </c>
      <c r="E563" t="s">
        <v>67</v>
      </c>
      <c r="F563" t="s">
        <v>13</v>
      </c>
      <c r="G563">
        <v>24</v>
      </c>
      <c r="H563">
        <v>2882</v>
      </c>
      <c r="I563" t="s">
        <v>648</v>
      </c>
      <c r="J563" t="s">
        <v>15</v>
      </c>
      <c r="K563">
        <v>2550</v>
      </c>
      <c r="L563" s="7">
        <f t="shared" si="16"/>
        <v>69168</v>
      </c>
      <c r="M563" s="7">
        <f>dataset!$L563-T563</f>
        <v>7968</v>
      </c>
      <c r="N563" s="7">
        <f>dataset!$M563/dataset!$L563*100</f>
        <v>11.519777931991673</v>
      </c>
      <c r="O563" s="25">
        <f>dataset!$K563*dataset!$G563</f>
        <v>61200</v>
      </c>
      <c r="P563"/>
      <c r="T563">
        <f>dataset!$K563*dataset!$G563</f>
        <v>61200</v>
      </c>
    </row>
    <row r="564" spans="1:20" x14ac:dyDescent="0.35">
      <c r="A564" s="2">
        <v>45815</v>
      </c>
      <c r="B564">
        <f t="shared" si="17"/>
        <v>7</v>
      </c>
      <c r="C564" t="s">
        <v>26</v>
      </c>
      <c r="D564" t="s">
        <v>11</v>
      </c>
      <c r="E564" t="s">
        <v>12</v>
      </c>
      <c r="F564" t="s">
        <v>18</v>
      </c>
      <c r="G564">
        <v>25</v>
      </c>
      <c r="H564">
        <v>1510</v>
      </c>
      <c r="I564" t="s">
        <v>649</v>
      </c>
      <c r="J564" t="s">
        <v>15</v>
      </c>
      <c r="K564">
        <v>1050</v>
      </c>
      <c r="L564" s="7">
        <f t="shared" si="16"/>
        <v>37750</v>
      </c>
      <c r="M564" s="7">
        <f>dataset!$L564-T564</f>
        <v>11500</v>
      </c>
      <c r="N564" s="7">
        <f>dataset!$M564/dataset!$L564*100</f>
        <v>30.463576158940398</v>
      </c>
      <c r="O564" s="25">
        <f>dataset!$K564*dataset!$G564</f>
        <v>26250</v>
      </c>
      <c r="P564"/>
      <c r="T564">
        <f>dataset!$K564*dataset!$G564</f>
        <v>26250</v>
      </c>
    </row>
    <row r="565" spans="1:20" x14ac:dyDescent="0.35">
      <c r="A565" s="2">
        <v>45806</v>
      </c>
      <c r="B565">
        <f t="shared" si="17"/>
        <v>29</v>
      </c>
      <c r="C565" t="s">
        <v>35</v>
      </c>
      <c r="D565" t="s">
        <v>21</v>
      </c>
      <c r="E565" t="s">
        <v>75</v>
      </c>
      <c r="F565" t="s">
        <v>18</v>
      </c>
      <c r="G565">
        <v>43</v>
      </c>
      <c r="H565">
        <v>1331</v>
      </c>
      <c r="I565" t="s">
        <v>650</v>
      </c>
      <c r="J565" t="s">
        <v>25</v>
      </c>
      <c r="K565">
        <v>1050</v>
      </c>
      <c r="L565" s="7">
        <f t="shared" si="16"/>
        <v>57233</v>
      </c>
      <c r="M565" s="7">
        <f>dataset!$L565-T565</f>
        <v>12083</v>
      </c>
      <c r="N565" s="7">
        <f>dataset!$M565/dataset!$L565*100</f>
        <v>21.111945905334334</v>
      </c>
      <c r="O565" s="25">
        <f>dataset!$K565*dataset!$G565</f>
        <v>45150</v>
      </c>
      <c r="P565"/>
      <c r="T565">
        <f>dataset!$K565*dataset!$G565</f>
        <v>45150</v>
      </c>
    </row>
    <row r="566" spans="1:20" x14ac:dyDescent="0.35">
      <c r="A566" s="2">
        <v>45759</v>
      </c>
      <c r="B566">
        <f t="shared" si="17"/>
        <v>12</v>
      </c>
      <c r="C566" t="s">
        <v>29</v>
      </c>
      <c r="D566" t="s">
        <v>36</v>
      </c>
      <c r="E566" t="s">
        <v>75</v>
      </c>
      <c r="F566" t="s">
        <v>40</v>
      </c>
      <c r="G566">
        <v>12</v>
      </c>
      <c r="H566">
        <v>2686</v>
      </c>
      <c r="I566" t="s">
        <v>651</v>
      </c>
      <c r="J566" t="s">
        <v>25</v>
      </c>
      <c r="K566">
        <v>2150</v>
      </c>
      <c r="L566" s="7">
        <f t="shared" si="16"/>
        <v>32232</v>
      </c>
      <c r="M566" s="7">
        <f>dataset!$L566-T566</f>
        <v>6432</v>
      </c>
      <c r="N566" s="7">
        <f>dataset!$M566/dataset!$L566*100</f>
        <v>19.955323901712585</v>
      </c>
      <c r="O566" s="25">
        <f>dataset!$K566*dataset!$G566</f>
        <v>25800</v>
      </c>
      <c r="P566"/>
      <c r="T566">
        <f>dataset!$K566*dataset!$G566</f>
        <v>25800</v>
      </c>
    </row>
    <row r="567" spans="1:20" x14ac:dyDescent="0.35">
      <c r="A567" s="2">
        <v>45823</v>
      </c>
      <c r="B567">
        <f t="shared" si="17"/>
        <v>15</v>
      </c>
      <c r="C567" t="s">
        <v>10</v>
      </c>
      <c r="D567" t="s">
        <v>27</v>
      </c>
      <c r="E567" t="s">
        <v>30</v>
      </c>
      <c r="F567" t="s">
        <v>40</v>
      </c>
      <c r="G567">
        <v>45</v>
      </c>
      <c r="H567">
        <v>2342</v>
      </c>
      <c r="I567" t="s">
        <v>652</v>
      </c>
      <c r="J567" t="s">
        <v>15</v>
      </c>
      <c r="K567">
        <v>1200</v>
      </c>
      <c r="L567" s="7">
        <f t="shared" si="16"/>
        <v>105390</v>
      </c>
      <c r="M567" s="7">
        <f>dataset!$L567-T567</f>
        <v>51390</v>
      </c>
      <c r="N567" s="7">
        <f>dataset!$M567/dataset!$L567*100</f>
        <v>48.761742100768572</v>
      </c>
      <c r="O567" s="25">
        <f>dataset!$K567*dataset!$G567</f>
        <v>54000</v>
      </c>
      <c r="P567"/>
      <c r="T567">
        <f>dataset!$K567*dataset!$G567</f>
        <v>54000</v>
      </c>
    </row>
    <row r="568" spans="1:20" x14ac:dyDescent="0.35">
      <c r="A568" s="2">
        <v>45786</v>
      </c>
      <c r="B568">
        <f t="shared" si="17"/>
        <v>9</v>
      </c>
      <c r="C568" t="s">
        <v>26</v>
      </c>
      <c r="D568" t="s">
        <v>21</v>
      </c>
      <c r="E568" t="s">
        <v>22</v>
      </c>
      <c r="F568" t="s">
        <v>52</v>
      </c>
      <c r="G568">
        <v>7</v>
      </c>
      <c r="H568">
        <v>1383</v>
      </c>
      <c r="I568" t="s">
        <v>653</v>
      </c>
      <c r="J568" t="s">
        <v>15</v>
      </c>
      <c r="K568">
        <v>1150</v>
      </c>
      <c r="L568" s="7">
        <f t="shared" si="16"/>
        <v>9681</v>
      </c>
      <c r="M568" s="7">
        <f>dataset!$L568-T568</f>
        <v>1631</v>
      </c>
      <c r="N568" s="7">
        <f>dataset!$M568/dataset!$L568*100</f>
        <v>16.847433116413594</v>
      </c>
      <c r="O568" s="25">
        <f>dataset!$K568*dataset!$G568</f>
        <v>8050</v>
      </c>
      <c r="P568"/>
      <c r="T568">
        <f>dataset!$K568*dataset!$G568</f>
        <v>8050</v>
      </c>
    </row>
    <row r="569" spans="1:20" x14ac:dyDescent="0.35">
      <c r="A569" s="2">
        <v>45810</v>
      </c>
      <c r="B569">
        <f t="shared" si="17"/>
        <v>2</v>
      </c>
      <c r="C569" t="s">
        <v>35</v>
      </c>
      <c r="D569" t="s">
        <v>66</v>
      </c>
      <c r="E569" t="s">
        <v>30</v>
      </c>
      <c r="F569" t="s">
        <v>52</v>
      </c>
      <c r="G569">
        <v>12</v>
      </c>
      <c r="H569">
        <v>2600</v>
      </c>
      <c r="I569" t="s">
        <v>105</v>
      </c>
      <c r="J569" t="s">
        <v>15</v>
      </c>
      <c r="K569">
        <v>2250</v>
      </c>
      <c r="L569" s="7">
        <f t="shared" si="16"/>
        <v>31200</v>
      </c>
      <c r="M569" s="7">
        <f>dataset!$L569-T569</f>
        <v>4200</v>
      </c>
      <c r="N569" s="7">
        <f>dataset!$M569/dataset!$L569*100</f>
        <v>13.461538461538462</v>
      </c>
      <c r="O569" s="25">
        <f>dataset!$K569*dataset!$G569</f>
        <v>27000</v>
      </c>
      <c r="P569"/>
      <c r="T569">
        <f>dataset!$K569*dataset!$G569</f>
        <v>27000</v>
      </c>
    </row>
    <row r="570" spans="1:20" x14ac:dyDescent="0.35">
      <c r="A570" s="2">
        <v>45826</v>
      </c>
      <c r="B570">
        <f t="shared" si="17"/>
        <v>18</v>
      </c>
      <c r="C570" t="s">
        <v>20</v>
      </c>
      <c r="D570" t="s">
        <v>21</v>
      </c>
      <c r="E570" t="s">
        <v>64</v>
      </c>
      <c r="F570" t="s">
        <v>52</v>
      </c>
      <c r="G570">
        <v>19</v>
      </c>
      <c r="H570">
        <v>1454</v>
      </c>
      <c r="I570" t="s">
        <v>654</v>
      </c>
      <c r="J570" t="s">
        <v>15</v>
      </c>
      <c r="K570">
        <v>900</v>
      </c>
      <c r="L570" s="7">
        <f t="shared" si="16"/>
        <v>27626</v>
      </c>
      <c r="M570" s="7">
        <f>dataset!$L570-T570</f>
        <v>10526</v>
      </c>
      <c r="N570" s="7">
        <f>dataset!$M570/dataset!$L570*100</f>
        <v>38.101788170563964</v>
      </c>
      <c r="O570" s="25">
        <f>dataset!$K570*dataset!$G570</f>
        <v>17100</v>
      </c>
      <c r="P570"/>
      <c r="T570">
        <f>dataset!$K570*dataset!$G570</f>
        <v>17100</v>
      </c>
    </row>
    <row r="571" spans="1:20" x14ac:dyDescent="0.35">
      <c r="A571" s="2">
        <v>45799</v>
      </c>
      <c r="B571">
        <f t="shared" si="17"/>
        <v>22</v>
      </c>
      <c r="C571" t="s">
        <v>10</v>
      </c>
      <c r="D571" t="s">
        <v>11</v>
      </c>
      <c r="E571" t="s">
        <v>54</v>
      </c>
      <c r="F571" t="s">
        <v>47</v>
      </c>
      <c r="G571">
        <v>30</v>
      </c>
      <c r="H571">
        <v>2587</v>
      </c>
      <c r="I571" t="s">
        <v>655</v>
      </c>
      <c r="J571" t="s">
        <v>15</v>
      </c>
      <c r="K571">
        <v>2100</v>
      </c>
      <c r="L571" s="7">
        <f t="shared" si="16"/>
        <v>77610</v>
      </c>
      <c r="M571" s="7">
        <f>dataset!$L571-T571</f>
        <v>14610</v>
      </c>
      <c r="N571" s="7">
        <f>dataset!$M571/dataset!$L571*100</f>
        <v>18.824893699265559</v>
      </c>
      <c r="O571" s="25">
        <f>dataset!$K571*dataset!$G571</f>
        <v>63000</v>
      </c>
      <c r="P571"/>
      <c r="T571">
        <f>dataset!$K571*dataset!$G571</f>
        <v>63000</v>
      </c>
    </row>
    <row r="572" spans="1:20" x14ac:dyDescent="0.35">
      <c r="A572" s="2">
        <v>45818</v>
      </c>
      <c r="B572">
        <f t="shared" si="17"/>
        <v>10</v>
      </c>
      <c r="C572" t="s">
        <v>26</v>
      </c>
      <c r="D572" t="s">
        <v>11</v>
      </c>
      <c r="E572" t="s">
        <v>12</v>
      </c>
      <c r="F572" t="s">
        <v>52</v>
      </c>
      <c r="G572">
        <v>25</v>
      </c>
      <c r="H572">
        <v>1075</v>
      </c>
      <c r="I572" t="s">
        <v>656</v>
      </c>
      <c r="J572" t="s">
        <v>15</v>
      </c>
      <c r="K572">
        <v>950</v>
      </c>
      <c r="L572" s="7">
        <f t="shared" si="16"/>
        <v>26875</v>
      </c>
      <c r="M572" s="7">
        <f>dataset!$L572-T572</f>
        <v>3125</v>
      </c>
      <c r="N572" s="7">
        <f>dataset!$M572/dataset!$L572*100</f>
        <v>11.627906976744185</v>
      </c>
      <c r="O572" s="25">
        <f>dataset!$K572*dataset!$G572</f>
        <v>23750</v>
      </c>
      <c r="P572"/>
      <c r="T572">
        <f>dataset!$K572*dataset!$G572</f>
        <v>23750</v>
      </c>
    </row>
    <row r="573" spans="1:20" x14ac:dyDescent="0.35">
      <c r="A573" s="2">
        <v>45785</v>
      </c>
      <c r="B573">
        <f t="shared" si="17"/>
        <v>8</v>
      </c>
      <c r="C573" t="s">
        <v>35</v>
      </c>
      <c r="D573" t="s">
        <v>27</v>
      </c>
      <c r="E573" t="s">
        <v>30</v>
      </c>
      <c r="F573" t="s">
        <v>31</v>
      </c>
      <c r="G573">
        <v>13</v>
      </c>
      <c r="H573">
        <v>1951</v>
      </c>
      <c r="I573" t="s">
        <v>657</v>
      </c>
      <c r="J573" t="s">
        <v>25</v>
      </c>
      <c r="K573">
        <v>1550</v>
      </c>
      <c r="L573" s="7">
        <f t="shared" si="16"/>
        <v>25363</v>
      </c>
      <c r="M573" s="7">
        <f>dataset!$L573-T573</f>
        <v>5213</v>
      </c>
      <c r="N573" s="7">
        <f>dataset!$M573/dataset!$L573*100</f>
        <v>20.553562275756025</v>
      </c>
      <c r="O573" s="25">
        <f>dataset!$K573*dataset!$G573</f>
        <v>20150</v>
      </c>
      <c r="P573"/>
      <c r="T573">
        <f>dataset!$K573*dataset!$G573</f>
        <v>20150</v>
      </c>
    </row>
    <row r="574" spans="1:20" x14ac:dyDescent="0.35">
      <c r="A574" s="2">
        <v>45772</v>
      </c>
      <c r="B574">
        <f t="shared" si="17"/>
        <v>25</v>
      </c>
      <c r="C574" t="s">
        <v>20</v>
      </c>
      <c r="D574" t="s">
        <v>36</v>
      </c>
      <c r="E574" t="s">
        <v>75</v>
      </c>
      <c r="F574" t="s">
        <v>47</v>
      </c>
      <c r="G574">
        <v>27</v>
      </c>
      <c r="H574">
        <v>687</v>
      </c>
      <c r="I574" t="s">
        <v>658</v>
      </c>
      <c r="J574" t="s">
        <v>25</v>
      </c>
      <c r="K574">
        <v>450</v>
      </c>
      <c r="L574" s="7">
        <f t="shared" si="16"/>
        <v>18549</v>
      </c>
      <c r="M574" s="7">
        <f>dataset!$L574-T574</f>
        <v>6399</v>
      </c>
      <c r="N574" s="7">
        <f>dataset!$M574/dataset!$L574*100</f>
        <v>34.497816593886469</v>
      </c>
      <c r="O574" s="25">
        <f>dataset!$K574*dataset!$G574</f>
        <v>12150</v>
      </c>
      <c r="P574"/>
      <c r="T574">
        <f>dataset!$K574*dataset!$G574</f>
        <v>12150</v>
      </c>
    </row>
    <row r="575" spans="1:20" x14ac:dyDescent="0.35">
      <c r="A575" s="2">
        <v>45751</v>
      </c>
      <c r="B575">
        <f t="shared" si="17"/>
        <v>4</v>
      </c>
      <c r="C575" t="s">
        <v>20</v>
      </c>
      <c r="D575" t="s">
        <v>46</v>
      </c>
      <c r="E575" t="s">
        <v>42</v>
      </c>
      <c r="F575" t="s">
        <v>37</v>
      </c>
      <c r="G575">
        <v>19</v>
      </c>
      <c r="H575">
        <v>1132</v>
      </c>
      <c r="I575" t="s">
        <v>659</v>
      </c>
      <c r="J575" t="s">
        <v>15</v>
      </c>
      <c r="K575">
        <v>900</v>
      </c>
      <c r="L575" s="7">
        <f t="shared" si="16"/>
        <v>21508</v>
      </c>
      <c r="M575" s="7">
        <f>dataset!$L575-T575</f>
        <v>4408</v>
      </c>
      <c r="N575" s="7">
        <f>dataset!$M575/dataset!$L575*100</f>
        <v>20.49469964664311</v>
      </c>
      <c r="O575" s="25">
        <f>dataset!$K575*dataset!$G575</f>
        <v>17100</v>
      </c>
      <c r="P575"/>
      <c r="T575">
        <f>dataset!$K575*dataset!$G575</f>
        <v>17100</v>
      </c>
    </row>
    <row r="576" spans="1:20" x14ac:dyDescent="0.35">
      <c r="A576" s="2">
        <v>45832</v>
      </c>
      <c r="B576">
        <f t="shared" si="17"/>
        <v>24</v>
      </c>
      <c r="C576" t="s">
        <v>26</v>
      </c>
      <c r="D576" t="s">
        <v>33</v>
      </c>
      <c r="E576" t="s">
        <v>17</v>
      </c>
      <c r="F576" t="s">
        <v>37</v>
      </c>
      <c r="G576">
        <v>28</v>
      </c>
      <c r="H576">
        <v>936</v>
      </c>
      <c r="I576" t="s">
        <v>660</v>
      </c>
      <c r="J576" t="s">
        <v>15</v>
      </c>
      <c r="K576">
        <v>500</v>
      </c>
      <c r="L576" s="7">
        <f t="shared" si="16"/>
        <v>26208</v>
      </c>
      <c r="M576" s="7">
        <f>dataset!$L576-T576</f>
        <v>12208</v>
      </c>
      <c r="N576" s="7">
        <f>dataset!$M576/dataset!$L576*100</f>
        <v>46.581196581196579</v>
      </c>
      <c r="O576" s="25">
        <f>dataset!$K576*dataset!$G576</f>
        <v>14000</v>
      </c>
      <c r="P576"/>
      <c r="T576">
        <f>dataset!$K576*dataset!$G576</f>
        <v>14000</v>
      </c>
    </row>
    <row r="577" spans="1:20" x14ac:dyDescent="0.35">
      <c r="A577" s="2">
        <v>45834</v>
      </c>
      <c r="B577">
        <f t="shared" si="17"/>
        <v>26</v>
      </c>
      <c r="C577" t="s">
        <v>10</v>
      </c>
      <c r="D577" t="s">
        <v>36</v>
      </c>
      <c r="E577" t="s">
        <v>54</v>
      </c>
      <c r="F577" t="s">
        <v>40</v>
      </c>
      <c r="G577">
        <v>21</v>
      </c>
      <c r="H577">
        <v>1242</v>
      </c>
      <c r="I577" t="s">
        <v>661</v>
      </c>
      <c r="J577" t="s">
        <v>15</v>
      </c>
      <c r="K577">
        <v>750</v>
      </c>
      <c r="L577" s="7">
        <f t="shared" si="16"/>
        <v>26082</v>
      </c>
      <c r="M577" s="7">
        <f>dataset!$L577-T577</f>
        <v>10332</v>
      </c>
      <c r="N577" s="7">
        <f>dataset!$M577/dataset!$L577*100</f>
        <v>39.613526570048307</v>
      </c>
      <c r="O577" s="25">
        <f>dataset!$K577*dataset!$G577</f>
        <v>15750</v>
      </c>
      <c r="P577"/>
      <c r="T577">
        <f>dataset!$K577*dataset!$G577</f>
        <v>15750</v>
      </c>
    </row>
    <row r="578" spans="1:20" x14ac:dyDescent="0.35">
      <c r="A578" s="2">
        <v>45765</v>
      </c>
      <c r="B578">
        <f t="shared" si="17"/>
        <v>18</v>
      </c>
      <c r="C578" t="s">
        <v>26</v>
      </c>
      <c r="D578" t="s">
        <v>11</v>
      </c>
      <c r="E578" t="s">
        <v>54</v>
      </c>
      <c r="F578" t="s">
        <v>31</v>
      </c>
      <c r="G578">
        <v>48</v>
      </c>
      <c r="H578">
        <v>2973</v>
      </c>
      <c r="I578" t="s">
        <v>662</v>
      </c>
      <c r="J578" t="s">
        <v>15</v>
      </c>
      <c r="K578">
        <v>2150</v>
      </c>
      <c r="L578" s="7">
        <f t="shared" ref="L578:L641" si="18">G578*H578</f>
        <v>142704</v>
      </c>
      <c r="M578" s="7">
        <f>dataset!$L578-T578</f>
        <v>39504</v>
      </c>
      <c r="N578" s="7">
        <f>dataset!$M578/dataset!$L578*100</f>
        <v>27.682475613858053</v>
      </c>
      <c r="O578" s="25">
        <f>dataset!$K578*dataset!$G578</f>
        <v>103200</v>
      </c>
      <c r="P578"/>
      <c r="T578">
        <f>dataset!$K578*dataset!$G578</f>
        <v>103200</v>
      </c>
    </row>
    <row r="579" spans="1:20" x14ac:dyDescent="0.35">
      <c r="A579" s="2">
        <v>45776</v>
      </c>
      <c r="B579">
        <f t="shared" ref="B579:B642" si="19">DAY(A579)</f>
        <v>29</v>
      </c>
      <c r="C579" t="s">
        <v>26</v>
      </c>
      <c r="D579" t="s">
        <v>33</v>
      </c>
      <c r="E579" t="s">
        <v>12</v>
      </c>
      <c r="F579" t="s">
        <v>23</v>
      </c>
      <c r="G579">
        <v>42</v>
      </c>
      <c r="H579">
        <v>328</v>
      </c>
      <c r="I579" t="s">
        <v>663</v>
      </c>
      <c r="J579" t="s">
        <v>25</v>
      </c>
      <c r="K579">
        <v>250</v>
      </c>
      <c r="L579" s="7">
        <f t="shared" si="18"/>
        <v>13776</v>
      </c>
      <c r="M579" s="7">
        <f>dataset!$L579-T579</f>
        <v>3276</v>
      </c>
      <c r="N579" s="7">
        <f>dataset!$M579/dataset!$L579*100</f>
        <v>23.780487804878049</v>
      </c>
      <c r="O579" s="25">
        <f>dataset!$K579*dataset!$G579</f>
        <v>10500</v>
      </c>
      <c r="P579"/>
      <c r="T579">
        <f>dataset!$K579*dataset!$G579</f>
        <v>10500</v>
      </c>
    </row>
    <row r="580" spans="1:20" x14ac:dyDescent="0.35">
      <c r="A580" s="2">
        <v>45796</v>
      </c>
      <c r="B580">
        <f t="shared" si="19"/>
        <v>19</v>
      </c>
      <c r="C580" t="s">
        <v>20</v>
      </c>
      <c r="D580" t="s">
        <v>11</v>
      </c>
      <c r="E580" t="s">
        <v>30</v>
      </c>
      <c r="F580" t="s">
        <v>59</v>
      </c>
      <c r="G580">
        <v>50</v>
      </c>
      <c r="H580">
        <v>446</v>
      </c>
      <c r="I580" t="s">
        <v>106</v>
      </c>
      <c r="J580" t="s">
        <v>15</v>
      </c>
      <c r="K580">
        <v>350</v>
      </c>
      <c r="L580" s="7">
        <f t="shared" si="18"/>
        <v>22300</v>
      </c>
      <c r="M580" s="7">
        <f>dataset!$L580-T580</f>
        <v>4800</v>
      </c>
      <c r="N580" s="7">
        <f>dataset!$M580/dataset!$L580*100</f>
        <v>21.524663677130047</v>
      </c>
      <c r="O580" s="25">
        <f>dataset!$K580*dataset!$G580</f>
        <v>17500</v>
      </c>
      <c r="P580"/>
      <c r="T580">
        <f>dataset!$K580*dataset!$G580</f>
        <v>17500</v>
      </c>
    </row>
    <row r="581" spans="1:20" x14ac:dyDescent="0.35">
      <c r="A581" s="2">
        <v>45834</v>
      </c>
      <c r="B581">
        <f t="shared" si="19"/>
        <v>26</v>
      </c>
      <c r="C581" t="s">
        <v>26</v>
      </c>
      <c r="D581" t="s">
        <v>33</v>
      </c>
      <c r="E581" t="s">
        <v>12</v>
      </c>
      <c r="F581" t="s">
        <v>56</v>
      </c>
      <c r="G581">
        <v>17</v>
      </c>
      <c r="H581">
        <v>2090</v>
      </c>
      <c r="I581" t="s">
        <v>664</v>
      </c>
      <c r="J581" t="s">
        <v>25</v>
      </c>
      <c r="K581">
        <v>1500</v>
      </c>
      <c r="L581" s="7">
        <f t="shared" si="18"/>
        <v>35530</v>
      </c>
      <c r="M581" s="7">
        <f>dataset!$L581-T581</f>
        <v>10030</v>
      </c>
      <c r="N581" s="7">
        <f>dataset!$M581/dataset!$L581*100</f>
        <v>28.229665071770331</v>
      </c>
      <c r="O581" s="25">
        <f>dataset!$K581*dataset!$G581</f>
        <v>25500</v>
      </c>
      <c r="P581"/>
      <c r="T581">
        <f>dataset!$K581*dataset!$G581</f>
        <v>25500</v>
      </c>
    </row>
    <row r="582" spans="1:20" x14ac:dyDescent="0.35">
      <c r="A582" s="2">
        <v>45833</v>
      </c>
      <c r="B582">
        <f t="shared" si="19"/>
        <v>25</v>
      </c>
      <c r="C582" t="s">
        <v>26</v>
      </c>
      <c r="D582" t="s">
        <v>36</v>
      </c>
      <c r="E582" t="s">
        <v>64</v>
      </c>
      <c r="F582" t="s">
        <v>37</v>
      </c>
      <c r="G582">
        <v>18</v>
      </c>
      <c r="H582">
        <v>764</v>
      </c>
      <c r="I582" t="s">
        <v>665</v>
      </c>
      <c r="J582" t="s">
        <v>15</v>
      </c>
      <c r="K582">
        <v>600</v>
      </c>
      <c r="L582" s="7">
        <f t="shared" si="18"/>
        <v>13752</v>
      </c>
      <c r="M582" s="7">
        <f>dataset!$L582-T582</f>
        <v>2952</v>
      </c>
      <c r="N582" s="7">
        <f>dataset!$M582/dataset!$L582*100</f>
        <v>21.465968586387437</v>
      </c>
      <c r="O582" s="25">
        <f>dataset!$K582*dataset!$G582</f>
        <v>10800</v>
      </c>
      <c r="P582"/>
      <c r="T582">
        <f>dataset!$K582*dataset!$G582</f>
        <v>10800</v>
      </c>
    </row>
    <row r="583" spans="1:20" x14ac:dyDescent="0.35">
      <c r="A583" s="2">
        <v>45748</v>
      </c>
      <c r="B583">
        <f t="shared" si="19"/>
        <v>1</v>
      </c>
      <c r="C583" t="s">
        <v>29</v>
      </c>
      <c r="D583" t="s">
        <v>36</v>
      </c>
      <c r="E583" t="s">
        <v>64</v>
      </c>
      <c r="F583" t="s">
        <v>13</v>
      </c>
      <c r="G583">
        <v>43</v>
      </c>
      <c r="H583">
        <v>1990</v>
      </c>
      <c r="I583" t="s">
        <v>666</v>
      </c>
      <c r="J583" t="s">
        <v>25</v>
      </c>
      <c r="K583">
        <v>1650</v>
      </c>
      <c r="L583" s="7">
        <f t="shared" si="18"/>
        <v>85570</v>
      </c>
      <c r="M583" s="7">
        <f>dataset!$L583-T583</f>
        <v>14620</v>
      </c>
      <c r="N583" s="7">
        <f>dataset!$M583/dataset!$L583*100</f>
        <v>17.08542713567839</v>
      </c>
      <c r="O583" s="25">
        <f>dataset!$K583*dataset!$G583</f>
        <v>70950</v>
      </c>
      <c r="P583"/>
      <c r="T583">
        <f>dataset!$K583*dataset!$G583</f>
        <v>70950</v>
      </c>
    </row>
    <row r="584" spans="1:20" x14ac:dyDescent="0.35">
      <c r="A584" s="2">
        <v>45817</v>
      </c>
      <c r="B584">
        <f t="shared" si="19"/>
        <v>9</v>
      </c>
      <c r="C584" t="s">
        <v>20</v>
      </c>
      <c r="D584" t="s">
        <v>27</v>
      </c>
      <c r="E584" t="s">
        <v>75</v>
      </c>
      <c r="F584" t="s">
        <v>59</v>
      </c>
      <c r="G584">
        <v>9</v>
      </c>
      <c r="H584">
        <v>2259</v>
      </c>
      <c r="I584" t="s">
        <v>667</v>
      </c>
      <c r="J584" t="s">
        <v>25</v>
      </c>
      <c r="K584">
        <v>1600</v>
      </c>
      <c r="L584" s="7">
        <f t="shared" si="18"/>
        <v>20331</v>
      </c>
      <c r="M584" s="7">
        <f>dataset!$L584-T584</f>
        <v>5931</v>
      </c>
      <c r="N584" s="7">
        <f>dataset!$M584/dataset!$L584*100</f>
        <v>29.172200088534751</v>
      </c>
      <c r="O584" s="25">
        <f>dataset!$K584*dataset!$G584</f>
        <v>14400</v>
      </c>
      <c r="P584"/>
      <c r="T584">
        <f>dataset!$K584*dataset!$G584</f>
        <v>14400</v>
      </c>
    </row>
    <row r="585" spans="1:20" x14ac:dyDescent="0.35">
      <c r="A585" s="2">
        <v>45809</v>
      </c>
      <c r="B585">
        <f t="shared" si="19"/>
        <v>1</v>
      </c>
      <c r="C585" t="s">
        <v>26</v>
      </c>
      <c r="D585" t="s">
        <v>11</v>
      </c>
      <c r="E585" t="s">
        <v>67</v>
      </c>
      <c r="F585" t="s">
        <v>56</v>
      </c>
      <c r="G585">
        <v>49</v>
      </c>
      <c r="H585">
        <v>2810</v>
      </c>
      <c r="I585" t="s">
        <v>668</v>
      </c>
      <c r="J585" t="s">
        <v>15</v>
      </c>
      <c r="K585">
        <v>1500</v>
      </c>
      <c r="L585" s="7">
        <f t="shared" si="18"/>
        <v>137690</v>
      </c>
      <c r="M585" s="7">
        <f>dataset!$L585-T585</f>
        <v>64190</v>
      </c>
      <c r="N585" s="7">
        <f>dataset!$M585/dataset!$L585*100</f>
        <v>46.619217081850536</v>
      </c>
      <c r="O585" s="25">
        <f>dataset!$K585*dataset!$G585</f>
        <v>73500</v>
      </c>
      <c r="P585"/>
      <c r="T585">
        <f>dataset!$K585*dataset!$G585</f>
        <v>73500</v>
      </c>
    </row>
    <row r="586" spans="1:20" x14ac:dyDescent="0.35">
      <c r="A586" s="2">
        <v>45785</v>
      </c>
      <c r="B586">
        <f t="shared" si="19"/>
        <v>8</v>
      </c>
      <c r="C586" t="s">
        <v>20</v>
      </c>
      <c r="D586" t="s">
        <v>21</v>
      </c>
      <c r="E586" t="s">
        <v>54</v>
      </c>
      <c r="F586" t="s">
        <v>47</v>
      </c>
      <c r="G586">
        <v>12</v>
      </c>
      <c r="H586">
        <v>1148</v>
      </c>
      <c r="I586" t="s">
        <v>669</v>
      </c>
      <c r="J586" t="s">
        <v>25</v>
      </c>
      <c r="K586">
        <v>650</v>
      </c>
      <c r="L586" s="7">
        <f t="shared" si="18"/>
        <v>13776</v>
      </c>
      <c r="M586" s="7">
        <f>dataset!$L586-T586</f>
        <v>5976</v>
      </c>
      <c r="N586" s="7">
        <f>dataset!$M586/dataset!$L586*100</f>
        <v>43.379790940766547</v>
      </c>
      <c r="O586" s="25">
        <f>dataset!$K586*dataset!$G586</f>
        <v>7800</v>
      </c>
      <c r="P586"/>
      <c r="T586">
        <f>dataset!$K586*dataset!$G586</f>
        <v>7800</v>
      </c>
    </row>
    <row r="587" spans="1:20" x14ac:dyDescent="0.35">
      <c r="A587" s="2">
        <v>45768</v>
      </c>
      <c r="B587">
        <f t="shared" si="19"/>
        <v>21</v>
      </c>
      <c r="C587" t="s">
        <v>10</v>
      </c>
      <c r="D587" t="s">
        <v>33</v>
      </c>
      <c r="E587" t="s">
        <v>30</v>
      </c>
      <c r="F587" t="s">
        <v>18</v>
      </c>
      <c r="G587">
        <v>9</v>
      </c>
      <c r="H587">
        <v>1415</v>
      </c>
      <c r="I587" t="s">
        <v>670</v>
      </c>
      <c r="J587" t="s">
        <v>25</v>
      </c>
      <c r="K587">
        <v>1150</v>
      </c>
      <c r="L587" s="7">
        <f t="shared" si="18"/>
        <v>12735</v>
      </c>
      <c r="M587" s="7">
        <f>dataset!$L587-T587</f>
        <v>2385</v>
      </c>
      <c r="N587" s="7">
        <f>dataset!$M587/dataset!$L587*100</f>
        <v>18.727915194346288</v>
      </c>
      <c r="O587" s="25">
        <f>dataset!$K587*dataset!$G587</f>
        <v>10350</v>
      </c>
      <c r="P587"/>
      <c r="T587">
        <f>dataset!$K587*dataset!$G587</f>
        <v>10350</v>
      </c>
    </row>
    <row r="588" spans="1:20" x14ac:dyDescent="0.35">
      <c r="A588" s="2">
        <v>45838</v>
      </c>
      <c r="B588">
        <f t="shared" si="19"/>
        <v>30</v>
      </c>
      <c r="C588" t="s">
        <v>20</v>
      </c>
      <c r="D588" t="s">
        <v>66</v>
      </c>
      <c r="E588" t="s">
        <v>67</v>
      </c>
      <c r="F588" t="s">
        <v>37</v>
      </c>
      <c r="G588">
        <v>5</v>
      </c>
      <c r="H588">
        <v>2838</v>
      </c>
      <c r="I588" t="s">
        <v>671</v>
      </c>
      <c r="J588" t="s">
        <v>15</v>
      </c>
      <c r="K588">
        <v>2250</v>
      </c>
      <c r="L588" s="7">
        <f t="shared" si="18"/>
        <v>14190</v>
      </c>
      <c r="M588" s="7">
        <f>dataset!$L588-T588</f>
        <v>2940</v>
      </c>
      <c r="N588" s="7">
        <f>dataset!$M588/dataset!$L588*100</f>
        <v>20.718816067653275</v>
      </c>
      <c r="O588" s="25">
        <f>dataset!$K588*dataset!$G588</f>
        <v>11250</v>
      </c>
      <c r="P588"/>
      <c r="T588">
        <f>dataset!$K588*dataset!$G588</f>
        <v>11250</v>
      </c>
    </row>
    <row r="589" spans="1:20" x14ac:dyDescent="0.35">
      <c r="A589" s="2">
        <v>45760</v>
      </c>
      <c r="B589">
        <f t="shared" si="19"/>
        <v>13</v>
      </c>
      <c r="C589" t="s">
        <v>10</v>
      </c>
      <c r="D589" t="s">
        <v>16</v>
      </c>
      <c r="E589" t="s">
        <v>67</v>
      </c>
      <c r="F589" t="s">
        <v>37</v>
      </c>
      <c r="G589">
        <v>41</v>
      </c>
      <c r="H589">
        <v>2835</v>
      </c>
      <c r="I589" t="s">
        <v>672</v>
      </c>
      <c r="J589" t="s">
        <v>15</v>
      </c>
      <c r="K589">
        <v>2250</v>
      </c>
      <c r="L589" s="7">
        <f t="shared" si="18"/>
        <v>116235</v>
      </c>
      <c r="M589" s="7">
        <f>dataset!$L589-T589</f>
        <v>23985</v>
      </c>
      <c r="N589" s="7">
        <f>dataset!$M589/dataset!$L589*100</f>
        <v>20.634920634920633</v>
      </c>
      <c r="O589" s="25">
        <f>dataset!$K589*dataset!$G589</f>
        <v>92250</v>
      </c>
      <c r="P589"/>
      <c r="T589">
        <f>dataset!$K589*dataset!$G589</f>
        <v>92250</v>
      </c>
    </row>
    <row r="590" spans="1:20" x14ac:dyDescent="0.35">
      <c r="A590" s="2">
        <v>45750</v>
      </c>
      <c r="B590">
        <f t="shared" si="19"/>
        <v>3</v>
      </c>
      <c r="C590" t="s">
        <v>10</v>
      </c>
      <c r="D590" t="s">
        <v>33</v>
      </c>
      <c r="E590" t="s">
        <v>12</v>
      </c>
      <c r="F590" t="s">
        <v>18</v>
      </c>
      <c r="G590">
        <v>5</v>
      </c>
      <c r="H590">
        <v>1457</v>
      </c>
      <c r="I590" t="s">
        <v>673</v>
      </c>
      <c r="J590" t="s">
        <v>25</v>
      </c>
      <c r="K590">
        <v>950</v>
      </c>
      <c r="L590" s="7">
        <f t="shared" si="18"/>
        <v>7285</v>
      </c>
      <c r="M590" s="7">
        <f>dataset!$L590-T590</f>
        <v>2535</v>
      </c>
      <c r="N590" s="7">
        <f>dataset!$M590/dataset!$L590*100</f>
        <v>34.797529169526427</v>
      </c>
      <c r="O590" s="25">
        <f>dataset!$K590*dataset!$G590</f>
        <v>4750</v>
      </c>
      <c r="P590"/>
      <c r="T590">
        <f>dataset!$K590*dataset!$G590</f>
        <v>4750</v>
      </c>
    </row>
    <row r="591" spans="1:20" x14ac:dyDescent="0.35">
      <c r="A591" s="2">
        <v>45757</v>
      </c>
      <c r="B591">
        <f t="shared" si="19"/>
        <v>10</v>
      </c>
      <c r="C591" t="s">
        <v>29</v>
      </c>
      <c r="D591" t="s">
        <v>27</v>
      </c>
      <c r="E591" t="s">
        <v>22</v>
      </c>
      <c r="F591" t="s">
        <v>59</v>
      </c>
      <c r="G591">
        <v>20</v>
      </c>
      <c r="H591">
        <v>2361</v>
      </c>
      <c r="I591" t="s">
        <v>107</v>
      </c>
      <c r="J591" t="s">
        <v>15</v>
      </c>
      <c r="K591">
        <v>1450</v>
      </c>
      <c r="L591" s="7">
        <f t="shared" si="18"/>
        <v>47220</v>
      </c>
      <c r="M591" s="7">
        <f>dataset!$L591-T591</f>
        <v>18220</v>
      </c>
      <c r="N591" s="7">
        <f>dataset!$M591/dataset!$L591*100</f>
        <v>38.585345192714954</v>
      </c>
      <c r="O591" s="25">
        <f>dataset!$K591*dataset!$G591</f>
        <v>29000</v>
      </c>
      <c r="P591"/>
      <c r="T591">
        <f>dataset!$K591*dataset!$G591</f>
        <v>29000</v>
      </c>
    </row>
    <row r="592" spans="1:20" x14ac:dyDescent="0.35">
      <c r="A592" s="2">
        <v>45810</v>
      </c>
      <c r="B592">
        <f t="shared" si="19"/>
        <v>2</v>
      </c>
      <c r="C592" t="s">
        <v>35</v>
      </c>
      <c r="D592" t="s">
        <v>36</v>
      </c>
      <c r="E592" t="s">
        <v>64</v>
      </c>
      <c r="F592" t="s">
        <v>52</v>
      </c>
      <c r="G592">
        <v>27</v>
      </c>
      <c r="H592">
        <v>1848</v>
      </c>
      <c r="I592" t="s">
        <v>674</v>
      </c>
      <c r="J592" t="s">
        <v>15</v>
      </c>
      <c r="K592">
        <v>1150</v>
      </c>
      <c r="L592" s="7">
        <f t="shared" si="18"/>
        <v>49896</v>
      </c>
      <c r="M592" s="7">
        <f>dataset!$L592-T592</f>
        <v>18846</v>
      </c>
      <c r="N592" s="7">
        <f>dataset!$M592/dataset!$L592*100</f>
        <v>37.770562770562769</v>
      </c>
      <c r="O592" s="25">
        <f>dataset!$K592*dataset!$G592</f>
        <v>31050</v>
      </c>
      <c r="P592"/>
      <c r="T592">
        <f>dataset!$K592*dataset!$G592</f>
        <v>31050</v>
      </c>
    </row>
    <row r="593" spans="1:20" x14ac:dyDescent="0.35">
      <c r="A593" s="2">
        <v>45811</v>
      </c>
      <c r="B593">
        <f t="shared" si="19"/>
        <v>3</v>
      </c>
      <c r="C593" t="s">
        <v>35</v>
      </c>
      <c r="D593" t="s">
        <v>66</v>
      </c>
      <c r="E593" t="s">
        <v>30</v>
      </c>
      <c r="F593" t="s">
        <v>23</v>
      </c>
      <c r="G593">
        <v>39</v>
      </c>
      <c r="H593">
        <v>2552</v>
      </c>
      <c r="I593" t="s">
        <v>675</v>
      </c>
      <c r="J593" t="s">
        <v>25</v>
      </c>
      <c r="K593">
        <v>1550</v>
      </c>
      <c r="L593" s="7">
        <f t="shared" si="18"/>
        <v>99528</v>
      </c>
      <c r="M593" s="7">
        <f>dataset!$L593-T593</f>
        <v>39078</v>
      </c>
      <c r="N593" s="7">
        <f>dataset!$M593/dataset!$L593*100</f>
        <v>39.263322884012538</v>
      </c>
      <c r="O593" s="25">
        <f>dataset!$K593*dataset!$G593</f>
        <v>60450</v>
      </c>
      <c r="P593"/>
      <c r="T593">
        <f>dataset!$K593*dataset!$G593</f>
        <v>60450</v>
      </c>
    </row>
    <row r="594" spans="1:20" x14ac:dyDescent="0.35">
      <c r="A594" s="2">
        <v>45795</v>
      </c>
      <c r="B594">
        <f t="shared" si="19"/>
        <v>18</v>
      </c>
      <c r="C594" t="s">
        <v>26</v>
      </c>
      <c r="D594" t="s">
        <v>33</v>
      </c>
      <c r="E594" t="s">
        <v>12</v>
      </c>
      <c r="F594" t="s">
        <v>56</v>
      </c>
      <c r="G594">
        <v>46</v>
      </c>
      <c r="H594">
        <v>2272</v>
      </c>
      <c r="I594" t="s">
        <v>676</v>
      </c>
      <c r="J594" t="s">
        <v>15</v>
      </c>
      <c r="K594">
        <v>1300</v>
      </c>
      <c r="L594" s="7">
        <f t="shared" si="18"/>
        <v>104512</v>
      </c>
      <c r="M594" s="7">
        <f>dataset!$L594-T594</f>
        <v>44712</v>
      </c>
      <c r="N594" s="7">
        <f>dataset!$M594/dataset!$L594*100</f>
        <v>42.781690140845072</v>
      </c>
      <c r="O594" s="25">
        <f>dataset!$K594*dataset!$G594</f>
        <v>59800</v>
      </c>
      <c r="P594"/>
      <c r="T594">
        <f>dataset!$K594*dataset!$G594</f>
        <v>59800</v>
      </c>
    </row>
    <row r="595" spans="1:20" x14ac:dyDescent="0.35">
      <c r="A595" s="2">
        <v>45831</v>
      </c>
      <c r="B595">
        <f t="shared" si="19"/>
        <v>23</v>
      </c>
      <c r="C595" t="s">
        <v>10</v>
      </c>
      <c r="D595" t="s">
        <v>66</v>
      </c>
      <c r="E595" t="s">
        <v>22</v>
      </c>
      <c r="F595" t="s">
        <v>56</v>
      </c>
      <c r="G595">
        <v>27</v>
      </c>
      <c r="H595">
        <v>1456</v>
      </c>
      <c r="I595" t="s">
        <v>677</v>
      </c>
      <c r="J595" t="s">
        <v>25</v>
      </c>
      <c r="K595">
        <v>1000</v>
      </c>
      <c r="L595" s="7">
        <f t="shared" si="18"/>
        <v>39312</v>
      </c>
      <c r="M595" s="7">
        <f>dataset!$L595-T595</f>
        <v>12312</v>
      </c>
      <c r="N595" s="7">
        <f>dataset!$M595/dataset!$L595*100</f>
        <v>31.318681318681318</v>
      </c>
      <c r="O595" s="25">
        <f>dataset!$K595*dataset!$G595</f>
        <v>27000</v>
      </c>
      <c r="P595"/>
      <c r="T595">
        <f>dataset!$K595*dataset!$G595</f>
        <v>27000</v>
      </c>
    </row>
    <row r="596" spans="1:20" x14ac:dyDescent="0.35">
      <c r="A596" s="2">
        <v>45810</v>
      </c>
      <c r="B596">
        <f t="shared" si="19"/>
        <v>2</v>
      </c>
      <c r="C596" t="s">
        <v>10</v>
      </c>
      <c r="D596" t="s">
        <v>33</v>
      </c>
      <c r="E596" t="s">
        <v>75</v>
      </c>
      <c r="F596" t="s">
        <v>37</v>
      </c>
      <c r="G596">
        <v>6</v>
      </c>
      <c r="H596">
        <v>2484</v>
      </c>
      <c r="I596" t="s">
        <v>678</v>
      </c>
      <c r="J596" t="s">
        <v>15</v>
      </c>
      <c r="K596">
        <v>2100</v>
      </c>
      <c r="L596" s="7">
        <f t="shared" si="18"/>
        <v>14904</v>
      </c>
      <c r="M596" s="7">
        <f>dataset!$L596-T596</f>
        <v>2304</v>
      </c>
      <c r="N596" s="7">
        <f>dataset!$M596/dataset!$L596*100</f>
        <v>15.458937198067632</v>
      </c>
      <c r="O596" s="25">
        <f>dataset!$K596*dataset!$G596</f>
        <v>12600</v>
      </c>
      <c r="P596"/>
      <c r="T596">
        <f>dataset!$K596*dataset!$G596</f>
        <v>12600</v>
      </c>
    </row>
    <row r="597" spans="1:20" x14ac:dyDescent="0.35">
      <c r="A597" s="2">
        <v>45774</v>
      </c>
      <c r="B597">
        <f t="shared" si="19"/>
        <v>27</v>
      </c>
      <c r="C597" t="s">
        <v>10</v>
      </c>
      <c r="D597" t="s">
        <v>21</v>
      </c>
      <c r="E597" t="s">
        <v>64</v>
      </c>
      <c r="F597" t="s">
        <v>18</v>
      </c>
      <c r="G597">
        <v>33</v>
      </c>
      <c r="H597">
        <v>980</v>
      </c>
      <c r="I597" t="s">
        <v>679</v>
      </c>
      <c r="J597" t="s">
        <v>25</v>
      </c>
      <c r="K597">
        <v>750</v>
      </c>
      <c r="L597" s="7">
        <f t="shared" si="18"/>
        <v>32340</v>
      </c>
      <c r="M597" s="7">
        <f>dataset!$L597-T597</f>
        <v>7590</v>
      </c>
      <c r="N597" s="7">
        <f>dataset!$M597/dataset!$L597*100</f>
        <v>23.469387755102041</v>
      </c>
      <c r="O597" s="25">
        <f>dataset!$K597*dataset!$G597</f>
        <v>24750</v>
      </c>
      <c r="P597"/>
      <c r="T597">
        <f>dataset!$K597*dataset!$G597</f>
        <v>24750</v>
      </c>
    </row>
    <row r="598" spans="1:20" x14ac:dyDescent="0.35">
      <c r="A598" s="2">
        <v>45800</v>
      </c>
      <c r="B598">
        <f t="shared" si="19"/>
        <v>23</v>
      </c>
      <c r="C598" t="s">
        <v>20</v>
      </c>
      <c r="D598" t="s">
        <v>66</v>
      </c>
      <c r="E598" t="s">
        <v>12</v>
      </c>
      <c r="F598" t="s">
        <v>13</v>
      </c>
      <c r="G598">
        <v>41</v>
      </c>
      <c r="H598">
        <v>1480</v>
      </c>
      <c r="I598" t="s">
        <v>680</v>
      </c>
      <c r="J598" t="s">
        <v>25</v>
      </c>
      <c r="K598">
        <v>800</v>
      </c>
      <c r="L598" s="7">
        <f t="shared" si="18"/>
        <v>60680</v>
      </c>
      <c r="M598" s="7">
        <f>dataset!$L598-T598</f>
        <v>27880</v>
      </c>
      <c r="N598" s="7">
        <f>dataset!$M598/dataset!$L598*100</f>
        <v>45.945945945945951</v>
      </c>
      <c r="O598" s="25">
        <f>dataset!$K598*dataset!$G598</f>
        <v>32800</v>
      </c>
      <c r="P598"/>
      <c r="T598">
        <f>dataset!$K598*dataset!$G598</f>
        <v>32800</v>
      </c>
    </row>
    <row r="599" spans="1:20" x14ac:dyDescent="0.35">
      <c r="A599" s="2">
        <v>45765</v>
      </c>
      <c r="B599">
        <f t="shared" si="19"/>
        <v>18</v>
      </c>
      <c r="C599" t="s">
        <v>20</v>
      </c>
      <c r="D599" t="s">
        <v>66</v>
      </c>
      <c r="E599" t="s">
        <v>12</v>
      </c>
      <c r="F599" t="s">
        <v>52</v>
      </c>
      <c r="G599">
        <v>26</v>
      </c>
      <c r="H599">
        <v>1334</v>
      </c>
      <c r="I599" t="s">
        <v>681</v>
      </c>
      <c r="J599" t="s">
        <v>15</v>
      </c>
      <c r="K599">
        <v>950</v>
      </c>
      <c r="L599" s="7">
        <f t="shared" si="18"/>
        <v>34684</v>
      </c>
      <c r="M599" s="7">
        <f>dataset!$L599-T599</f>
        <v>9984</v>
      </c>
      <c r="N599" s="7">
        <f>dataset!$M599/dataset!$L599*100</f>
        <v>28.785607196401799</v>
      </c>
      <c r="O599" s="25">
        <f>dataset!$K599*dataset!$G599</f>
        <v>24700</v>
      </c>
      <c r="P599"/>
      <c r="T599">
        <f>dataset!$K599*dataset!$G599</f>
        <v>24700</v>
      </c>
    </row>
    <row r="600" spans="1:20" x14ac:dyDescent="0.35">
      <c r="A600" s="2">
        <v>45761</v>
      </c>
      <c r="B600">
        <f t="shared" si="19"/>
        <v>14</v>
      </c>
      <c r="C600" t="s">
        <v>35</v>
      </c>
      <c r="D600" t="s">
        <v>11</v>
      </c>
      <c r="E600" t="s">
        <v>75</v>
      </c>
      <c r="F600" t="s">
        <v>18</v>
      </c>
      <c r="G600">
        <v>11</v>
      </c>
      <c r="H600">
        <v>997</v>
      </c>
      <c r="I600" t="s">
        <v>682</v>
      </c>
      <c r="J600" t="s">
        <v>25</v>
      </c>
      <c r="K600">
        <v>600</v>
      </c>
      <c r="L600" s="7">
        <f t="shared" si="18"/>
        <v>10967</v>
      </c>
      <c r="M600" s="7">
        <f>dataset!$L600-T600</f>
        <v>4367</v>
      </c>
      <c r="N600" s="7">
        <f>dataset!$M600/dataset!$L600*100</f>
        <v>39.819458375125379</v>
      </c>
      <c r="O600" s="25">
        <f>dataset!$K600*dataset!$G600</f>
        <v>6600</v>
      </c>
      <c r="P600"/>
      <c r="T600">
        <f>dataset!$K600*dataset!$G600</f>
        <v>6600</v>
      </c>
    </row>
    <row r="601" spans="1:20" x14ac:dyDescent="0.35">
      <c r="A601" s="2">
        <v>45799</v>
      </c>
      <c r="B601">
        <f t="shared" si="19"/>
        <v>22</v>
      </c>
      <c r="C601" t="s">
        <v>26</v>
      </c>
      <c r="D601" t="s">
        <v>21</v>
      </c>
      <c r="E601" t="s">
        <v>42</v>
      </c>
      <c r="F601" t="s">
        <v>59</v>
      </c>
      <c r="G601">
        <v>21</v>
      </c>
      <c r="H601">
        <v>1458</v>
      </c>
      <c r="I601" t="s">
        <v>683</v>
      </c>
      <c r="J601" t="s">
        <v>25</v>
      </c>
      <c r="K601">
        <v>1200</v>
      </c>
      <c r="L601" s="7">
        <f t="shared" si="18"/>
        <v>30618</v>
      </c>
      <c r="M601" s="7">
        <f>dataset!$L601-T601</f>
        <v>5418</v>
      </c>
      <c r="N601" s="7">
        <f>dataset!$M601/dataset!$L601*100</f>
        <v>17.695473251028808</v>
      </c>
      <c r="O601" s="25">
        <f>dataset!$K601*dataset!$G601</f>
        <v>25200</v>
      </c>
      <c r="P601"/>
      <c r="T601">
        <f>dataset!$K601*dataset!$G601</f>
        <v>25200</v>
      </c>
    </row>
    <row r="602" spans="1:20" x14ac:dyDescent="0.35">
      <c r="A602" s="2">
        <v>45832</v>
      </c>
      <c r="B602">
        <f t="shared" si="19"/>
        <v>24</v>
      </c>
      <c r="C602" t="s">
        <v>26</v>
      </c>
      <c r="D602" t="s">
        <v>11</v>
      </c>
      <c r="E602" t="s">
        <v>22</v>
      </c>
      <c r="F602" t="s">
        <v>47</v>
      </c>
      <c r="G602">
        <v>17</v>
      </c>
      <c r="H602">
        <v>1684</v>
      </c>
      <c r="I602" t="s">
        <v>108</v>
      </c>
      <c r="J602" t="s">
        <v>25</v>
      </c>
      <c r="K602">
        <v>1500</v>
      </c>
      <c r="L602" s="7">
        <f t="shared" si="18"/>
        <v>28628</v>
      </c>
      <c r="M602" s="7">
        <f>dataset!$L602-T602</f>
        <v>3128</v>
      </c>
      <c r="N602" s="7">
        <f>dataset!$M602/dataset!$L602*100</f>
        <v>10.926365795724466</v>
      </c>
      <c r="O602" s="25">
        <f>dataset!$K602*dataset!$G602</f>
        <v>25500</v>
      </c>
      <c r="P602"/>
      <c r="T602">
        <f>dataset!$K602*dataset!$G602</f>
        <v>25500</v>
      </c>
    </row>
    <row r="603" spans="1:20" x14ac:dyDescent="0.35">
      <c r="A603" s="2">
        <v>45798</v>
      </c>
      <c r="B603">
        <f t="shared" si="19"/>
        <v>21</v>
      </c>
      <c r="C603" t="s">
        <v>26</v>
      </c>
      <c r="D603" t="s">
        <v>46</v>
      </c>
      <c r="E603" t="s">
        <v>12</v>
      </c>
      <c r="F603" t="s">
        <v>18</v>
      </c>
      <c r="G603">
        <v>44</v>
      </c>
      <c r="H603">
        <v>2559</v>
      </c>
      <c r="I603" t="s">
        <v>684</v>
      </c>
      <c r="J603" t="s">
        <v>15</v>
      </c>
      <c r="K603">
        <v>2000</v>
      </c>
      <c r="L603" s="7">
        <f t="shared" si="18"/>
        <v>112596</v>
      </c>
      <c r="M603" s="7">
        <f>dataset!$L603-T603</f>
        <v>24596</v>
      </c>
      <c r="N603" s="7">
        <f>dataset!$M603/dataset!$L603*100</f>
        <v>21.844470496287613</v>
      </c>
      <c r="O603" s="25">
        <f>dataset!$K603*dataset!$G603</f>
        <v>88000</v>
      </c>
      <c r="P603"/>
      <c r="T603">
        <f>dataset!$K603*dataset!$G603</f>
        <v>88000</v>
      </c>
    </row>
    <row r="604" spans="1:20" x14ac:dyDescent="0.35">
      <c r="A604" s="2">
        <v>45815</v>
      </c>
      <c r="B604">
        <f t="shared" si="19"/>
        <v>7</v>
      </c>
      <c r="C604" t="s">
        <v>10</v>
      </c>
      <c r="D604" t="s">
        <v>27</v>
      </c>
      <c r="E604" t="s">
        <v>42</v>
      </c>
      <c r="F604" t="s">
        <v>13</v>
      </c>
      <c r="G604">
        <v>39</v>
      </c>
      <c r="H604">
        <v>321</v>
      </c>
      <c r="I604" t="s">
        <v>685</v>
      </c>
      <c r="J604" t="s">
        <v>25</v>
      </c>
      <c r="K604">
        <v>200</v>
      </c>
      <c r="L604" s="7">
        <f t="shared" si="18"/>
        <v>12519</v>
      </c>
      <c r="M604" s="7">
        <f>dataset!$L604-T604</f>
        <v>4719</v>
      </c>
      <c r="N604" s="7">
        <f>dataset!$M604/dataset!$L604*100</f>
        <v>37.694704049844233</v>
      </c>
      <c r="O604" s="25">
        <f>dataset!$K604*dataset!$G604</f>
        <v>7800</v>
      </c>
      <c r="P604"/>
      <c r="T604">
        <f>dataset!$K604*dataset!$G604</f>
        <v>7800</v>
      </c>
    </row>
    <row r="605" spans="1:20" x14ac:dyDescent="0.35">
      <c r="A605" s="2">
        <v>45824</v>
      </c>
      <c r="B605">
        <f t="shared" si="19"/>
        <v>16</v>
      </c>
      <c r="C605" t="s">
        <v>29</v>
      </c>
      <c r="D605" t="s">
        <v>11</v>
      </c>
      <c r="E605" t="s">
        <v>64</v>
      </c>
      <c r="F605" t="s">
        <v>59</v>
      </c>
      <c r="G605">
        <v>32</v>
      </c>
      <c r="H605">
        <v>1538</v>
      </c>
      <c r="I605" t="s">
        <v>686</v>
      </c>
      <c r="J605" t="s">
        <v>15</v>
      </c>
      <c r="K605">
        <v>1250</v>
      </c>
      <c r="L605" s="7">
        <f t="shared" si="18"/>
        <v>49216</v>
      </c>
      <c r="M605" s="7">
        <f>dataset!$L605-T605</f>
        <v>9216</v>
      </c>
      <c r="N605" s="7">
        <f>dataset!$M605/dataset!$L605*100</f>
        <v>18.725617685305593</v>
      </c>
      <c r="O605" s="25">
        <f>dataset!$K605*dataset!$G605</f>
        <v>40000</v>
      </c>
      <c r="P605"/>
      <c r="T605">
        <f>dataset!$K605*dataset!$G605</f>
        <v>40000</v>
      </c>
    </row>
    <row r="606" spans="1:20" x14ac:dyDescent="0.35">
      <c r="A606" s="2">
        <v>45796</v>
      </c>
      <c r="B606">
        <f t="shared" si="19"/>
        <v>19</v>
      </c>
      <c r="C606" t="s">
        <v>20</v>
      </c>
      <c r="D606" t="s">
        <v>21</v>
      </c>
      <c r="E606" t="s">
        <v>39</v>
      </c>
      <c r="F606" t="s">
        <v>13</v>
      </c>
      <c r="G606">
        <v>49</v>
      </c>
      <c r="H606">
        <v>2430</v>
      </c>
      <c r="I606" t="s">
        <v>687</v>
      </c>
      <c r="J606" t="s">
        <v>15</v>
      </c>
      <c r="K606">
        <v>1400</v>
      </c>
      <c r="L606" s="7">
        <f t="shared" si="18"/>
        <v>119070</v>
      </c>
      <c r="M606" s="7">
        <f>dataset!$L606-T606</f>
        <v>50470</v>
      </c>
      <c r="N606" s="7">
        <f>dataset!$M606/dataset!$L606*100</f>
        <v>42.386831275720169</v>
      </c>
      <c r="O606" s="25">
        <f>dataset!$K606*dataset!$G606</f>
        <v>68600</v>
      </c>
      <c r="P606"/>
      <c r="T606">
        <f>dataset!$K606*dataset!$G606</f>
        <v>68600</v>
      </c>
    </row>
    <row r="607" spans="1:20" x14ac:dyDescent="0.35">
      <c r="A607" s="2">
        <v>45804</v>
      </c>
      <c r="B607">
        <f t="shared" si="19"/>
        <v>27</v>
      </c>
      <c r="C607" t="s">
        <v>35</v>
      </c>
      <c r="D607" t="s">
        <v>16</v>
      </c>
      <c r="E607" t="s">
        <v>39</v>
      </c>
      <c r="F607" t="s">
        <v>37</v>
      </c>
      <c r="G607">
        <v>5</v>
      </c>
      <c r="H607">
        <v>1815</v>
      </c>
      <c r="I607" t="s">
        <v>688</v>
      </c>
      <c r="J607" t="s">
        <v>25</v>
      </c>
      <c r="K607">
        <v>1500</v>
      </c>
      <c r="L607" s="7">
        <f t="shared" si="18"/>
        <v>9075</v>
      </c>
      <c r="M607" s="7">
        <f>dataset!$L607-T607</f>
        <v>1575</v>
      </c>
      <c r="N607" s="7">
        <f>dataset!$M607/dataset!$L607*100</f>
        <v>17.355371900826448</v>
      </c>
      <c r="O607" s="25">
        <f>dataset!$K607*dataset!$G607</f>
        <v>7500</v>
      </c>
      <c r="P607"/>
      <c r="T607">
        <f>dataset!$K607*dataset!$G607</f>
        <v>7500</v>
      </c>
    </row>
    <row r="608" spans="1:20" x14ac:dyDescent="0.35">
      <c r="A608" s="2">
        <v>45790</v>
      </c>
      <c r="B608">
        <f t="shared" si="19"/>
        <v>13</v>
      </c>
      <c r="C608" t="s">
        <v>20</v>
      </c>
      <c r="D608" t="s">
        <v>46</v>
      </c>
      <c r="E608" t="s">
        <v>17</v>
      </c>
      <c r="F608" t="s">
        <v>59</v>
      </c>
      <c r="G608">
        <v>19</v>
      </c>
      <c r="H608">
        <v>2734</v>
      </c>
      <c r="I608" t="s">
        <v>689</v>
      </c>
      <c r="J608" t="s">
        <v>15</v>
      </c>
      <c r="K608">
        <v>2350</v>
      </c>
      <c r="L608" s="7">
        <f t="shared" si="18"/>
        <v>51946</v>
      </c>
      <c r="M608" s="7">
        <f>dataset!$L608-T608</f>
        <v>7296</v>
      </c>
      <c r="N608" s="7">
        <f>dataset!$M608/dataset!$L608*100</f>
        <v>14.045354791514264</v>
      </c>
      <c r="O608" s="25">
        <f>dataset!$K608*dataset!$G608</f>
        <v>44650</v>
      </c>
      <c r="P608"/>
      <c r="T608">
        <f>dataset!$K608*dataset!$G608</f>
        <v>44650</v>
      </c>
    </row>
    <row r="609" spans="1:20" x14ac:dyDescent="0.35">
      <c r="A609" s="2">
        <v>45757</v>
      </c>
      <c r="B609">
        <f t="shared" si="19"/>
        <v>10</v>
      </c>
      <c r="C609" t="s">
        <v>35</v>
      </c>
      <c r="D609" t="s">
        <v>11</v>
      </c>
      <c r="E609" t="s">
        <v>12</v>
      </c>
      <c r="F609" t="s">
        <v>23</v>
      </c>
      <c r="G609">
        <v>50</v>
      </c>
      <c r="H609">
        <v>1777</v>
      </c>
      <c r="I609" t="s">
        <v>690</v>
      </c>
      <c r="J609" t="s">
        <v>15</v>
      </c>
      <c r="K609">
        <v>1350</v>
      </c>
      <c r="L609" s="7">
        <f t="shared" si="18"/>
        <v>88850</v>
      </c>
      <c r="M609" s="7">
        <f>dataset!$L609-T609</f>
        <v>21350</v>
      </c>
      <c r="N609" s="7">
        <f>dataset!$M609/dataset!$L609*100</f>
        <v>24.029262802476083</v>
      </c>
      <c r="O609" s="25">
        <f>dataset!$K609*dataset!$G609</f>
        <v>67500</v>
      </c>
      <c r="P609"/>
      <c r="T609">
        <f>dataset!$K609*dataset!$G609</f>
        <v>67500</v>
      </c>
    </row>
    <row r="610" spans="1:20" x14ac:dyDescent="0.35">
      <c r="A610" s="2">
        <v>45797</v>
      </c>
      <c r="B610">
        <f t="shared" si="19"/>
        <v>20</v>
      </c>
      <c r="C610" t="s">
        <v>20</v>
      </c>
      <c r="D610" t="s">
        <v>27</v>
      </c>
      <c r="E610" t="s">
        <v>17</v>
      </c>
      <c r="F610" t="s">
        <v>52</v>
      </c>
      <c r="G610">
        <v>12</v>
      </c>
      <c r="H610">
        <v>1429</v>
      </c>
      <c r="I610" t="s">
        <v>691</v>
      </c>
      <c r="J610" t="s">
        <v>25</v>
      </c>
      <c r="K610">
        <v>950</v>
      </c>
      <c r="L610" s="7">
        <f t="shared" si="18"/>
        <v>17148</v>
      </c>
      <c r="M610" s="7">
        <f>dataset!$L610-T610</f>
        <v>5748</v>
      </c>
      <c r="N610" s="7">
        <f>dataset!$M610/dataset!$L610*100</f>
        <v>33.519944016794959</v>
      </c>
      <c r="O610" s="25">
        <f>dataset!$K610*dataset!$G610</f>
        <v>11400</v>
      </c>
      <c r="P610"/>
      <c r="T610">
        <f>dataset!$K610*dataset!$G610</f>
        <v>11400</v>
      </c>
    </row>
    <row r="611" spans="1:20" x14ac:dyDescent="0.35">
      <c r="A611" s="2">
        <v>45835</v>
      </c>
      <c r="B611">
        <f t="shared" si="19"/>
        <v>27</v>
      </c>
      <c r="C611" t="s">
        <v>35</v>
      </c>
      <c r="D611" t="s">
        <v>33</v>
      </c>
      <c r="E611" t="s">
        <v>54</v>
      </c>
      <c r="F611" t="s">
        <v>37</v>
      </c>
      <c r="G611">
        <v>33</v>
      </c>
      <c r="H611">
        <v>2054</v>
      </c>
      <c r="I611" t="s">
        <v>692</v>
      </c>
      <c r="J611" t="s">
        <v>15</v>
      </c>
      <c r="K611">
        <v>1050</v>
      </c>
      <c r="L611" s="7">
        <f t="shared" si="18"/>
        <v>67782</v>
      </c>
      <c r="M611" s="7">
        <f>dataset!$L611-T611</f>
        <v>33132</v>
      </c>
      <c r="N611" s="7">
        <f>dataset!$M611/dataset!$L611*100</f>
        <v>48.880233690360278</v>
      </c>
      <c r="O611" s="25">
        <f>dataset!$K611*dataset!$G611</f>
        <v>34650</v>
      </c>
      <c r="P611"/>
      <c r="T611">
        <f>dataset!$K611*dataset!$G611</f>
        <v>34650</v>
      </c>
    </row>
    <row r="612" spans="1:20" x14ac:dyDescent="0.35">
      <c r="A612" s="2">
        <v>45809</v>
      </c>
      <c r="B612">
        <f t="shared" si="19"/>
        <v>1</v>
      </c>
      <c r="C612" t="s">
        <v>29</v>
      </c>
      <c r="D612" t="s">
        <v>66</v>
      </c>
      <c r="E612" t="s">
        <v>42</v>
      </c>
      <c r="F612" t="s">
        <v>52</v>
      </c>
      <c r="G612">
        <v>33</v>
      </c>
      <c r="H612">
        <v>1018</v>
      </c>
      <c r="I612" t="s">
        <v>693</v>
      </c>
      <c r="J612" t="s">
        <v>25</v>
      </c>
      <c r="K612">
        <v>600</v>
      </c>
      <c r="L612" s="7">
        <f t="shared" si="18"/>
        <v>33594</v>
      </c>
      <c r="M612" s="7">
        <f>dataset!$L612-T612</f>
        <v>13794</v>
      </c>
      <c r="N612" s="7">
        <f>dataset!$M612/dataset!$L612*100</f>
        <v>41.060903732809429</v>
      </c>
      <c r="O612" s="25">
        <f>dataset!$K612*dataset!$G612</f>
        <v>19800</v>
      </c>
      <c r="P612"/>
      <c r="T612">
        <f>dataset!$K612*dataset!$G612</f>
        <v>19800</v>
      </c>
    </row>
    <row r="613" spans="1:20" x14ac:dyDescent="0.35">
      <c r="A613" s="2">
        <v>45811</v>
      </c>
      <c r="B613">
        <f t="shared" si="19"/>
        <v>3</v>
      </c>
      <c r="C613" t="s">
        <v>10</v>
      </c>
      <c r="D613" t="s">
        <v>46</v>
      </c>
      <c r="E613" t="s">
        <v>22</v>
      </c>
      <c r="F613" t="s">
        <v>56</v>
      </c>
      <c r="G613">
        <v>46</v>
      </c>
      <c r="H613">
        <v>2031</v>
      </c>
      <c r="I613" t="s">
        <v>109</v>
      </c>
      <c r="J613" t="s">
        <v>15</v>
      </c>
      <c r="K613">
        <v>1450</v>
      </c>
      <c r="L613" s="7">
        <f t="shared" si="18"/>
        <v>93426</v>
      </c>
      <c r="M613" s="7">
        <f>dataset!$L613-T613</f>
        <v>26726</v>
      </c>
      <c r="N613" s="7">
        <f>dataset!$M613/dataset!$L613*100</f>
        <v>28.606597735105861</v>
      </c>
      <c r="O613" s="25">
        <f>dataset!$K613*dataset!$G613</f>
        <v>66700</v>
      </c>
      <c r="P613"/>
      <c r="T613">
        <f>dataset!$K613*dataset!$G613</f>
        <v>66700</v>
      </c>
    </row>
    <row r="614" spans="1:20" x14ac:dyDescent="0.35">
      <c r="A614" s="2">
        <v>45749</v>
      </c>
      <c r="B614">
        <f t="shared" si="19"/>
        <v>2</v>
      </c>
      <c r="C614" t="s">
        <v>10</v>
      </c>
      <c r="D614" t="s">
        <v>36</v>
      </c>
      <c r="E614" t="s">
        <v>22</v>
      </c>
      <c r="F614" t="s">
        <v>56</v>
      </c>
      <c r="G614">
        <v>47</v>
      </c>
      <c r="H614">
        <v>775</v>
      </c>
      <c r="I614" t="s">
        <v>694</v>
      </c>
      <c r="J614" t="s">
        <v>25</v>
      </c>
      <c r="K614">
        <v>500</v>
      </c>
      <c r="L614" s="7">
        <f t="shared" si="18"/>
        <v>36425</v>
      </c>
      <c r="M614" s="7">
        <f>dataset!$L614-T614</f>
        <v>12925</v>
      </c>
      <c r="N614" s="7">
        <f>dataset!$M614/dataset!$L614*100</f>
        <v>35.483870967741936</v>
      </c>
      <c r="O614" s="25">
        <f>dataset!$K614*dataset!$G614</f>
        <v>23500</v>
      </c>
      <c r="P614"/>
      <c r="T614">
        <f>dataset!$K614*dataset!$G614</f>
        <v>23500</v>
      </c>
    </row>
    <row r="615" spans="1:20" x14ac:dyDescent="0.35">
      <c r="A615" s="2">
        <v>45778</v>
      </c>
      <c r="B615">
        <f t="shared" si="19"/>
        <v>1</v>
      </c>
      <c r="C615" t="s">
        <v>20</v>
      </c>
      <c r="D615" t="s">
        <v>21</v>
      </c>
      <c r="E615" t="s">
        <v>17</v>
      </c>
      <c r="F615" t="s">
        <v>13</v>
      </c>
      <c r="G615">
        <v>43</v>
      </c>
      <c r="H615">
        <v>2284</v>
      </c>
      <c r="I615" t="s">
        <v>695</v>
      </c>
      <c r="J615" t="s">
        <v>25</v>
      </c>
      <c r="K615">
        <v>1400</v>
      </c>
      <c r="L615" s="7">
        <f t="shared" si="18"/>
        <v>98212</v>
      </c>
      <c r="M615" s="7">
        <f>dataset!$L615-T615</f>
        <v>38012</v>
      </c>
      <c r="N615" s="7">
        <f>dataset!$M615/dataset!$L615*100</f>
        <v>38.704028021015766</v>
      </c>
      <c r="O615" s="25">
        <f>dataset!$K615*dataset!$G615</f>
        <v>60200</v>
      </c>
      <c r="P615"/>
      <c r="T615">
        <f>dataset!$K615*dataset!$G615</f>
        <v>60200</v>
      </c>
    </row>
    <row r="616" spans="1:20" x14ac:dyDescent="0.35">
      <c r="A616" s="2">
        <v>45800</v>
      </c>
      <c r="B616">
        <f t="shared" si="19"/>
        <v>23</v>
      </c>
      <c r="C616" t="s">
        <v>10</v>
      </c>
      <c r="D616" t="s">
        <v>33</v>
      </c>
      <c r="E616" t="s">
        <v>39</v>
      </c>
      <c r="F616" t="s">
        <v>18</v>
      </c>
      <c r="G616">
        <v>15</v>
      </c>
      <c r="H616">
        <v>2695</v>
      </c>
      <c r="I616" t="s">
        <v>696</v>
      </c>
      <c r="J616" t="s">
        <v>15</v>
      </c>
      <c r="K616">
        <v>1500</v>
      </c>
      <c r="L616" s="7">
        <f t="shared" si="18"/>
        <v>40425</v>
      </c>
      <c r="M616" s="7">
        <f>dataset!$L616-T616</f>
        <v>17925</v>
      </c>
      <c r="N616" s="7">
        <f>dataset!$M616/dataset!$L616*100</f>
        <v>44.341372912801482</v>
      </c>
      <c r="O616" s="25">
        <f>dataset!$K616*dataset!$G616</f>
        <v>22500</v>
      </c>
      <c r="P616"/>
      <c r="T616">
        <f>dataset!$K616*dataset!$G616</f>
        <v>22500</v>
      </c>
    </row>
    <row r="617" spans="1:20" x14ac:dyDescent="0.35">
      <c r="A617" s="2">
        <v>45786</v>
      </c>
      <c r="B617">
        <f t="shared" si="19"/>
        <v>9</v>
      </c>
      <c r="C617" t="s">
        <v>10</v>
      </c>
      <c r="D617" t="s">
        <v>46</v>
      </c>
      <c r="E617" t="s">
        <v>42</v>
      </c>
      <c r="F617" t="s">
        <v>31</v>
      </c>
      <c r="G617">
        <v>31</v>
      </c>
      <c r="H617">
        <v>1293</v>
      </c>
      <c r="I617" t="s">
        <v>697</v>
      </c>
      <c r="J617" t="s">
        <v>25</v>
      </c>
      <c r="K617">
        <v>750</v>
      </c>
      <c r="L617" s="7">
        <f t="shared" si="18"/>
        <v>40083</v>
      </c>
      <c r="M617" s="7">
        <f>dataset!$L617-T617</f>
        <v>16833</v>
      </c>
      <c r="N617" s="7">
        <f>dataset!$M617/dataset!$L617*100</f>
        <v>41.995359628770302</v>
      </c>
      <c r="O617" s="25">
        <f>dataset!$K617*dataset!$G617</f>
        <v>23250</v>
      </c>
      <c r="P617"/>
      <c r="T617">
        <f>dataset!$K617*dataset!$G617</f>
        <v>23250</v>
      </c>
    </row>
    <row r="618" spans="1:20" x14ac:dyDescent="0.35">
      <c r="A618" s="2">
        <v>45771</v>
      </c>
      <c r="B618">
        <f t="shared" si="19"/>
        <v>24</v>
      </c>
      <c r="C618" t="s">
        <v>10</v>
      </c>
      <c r="D618" t="s">
        <v>36</v>
      </c>
      <c r="E618" t="s">
        <v>42</v>
      </c>
      <c r="F618" t="s">
        <v>18</v>
      </c>
      <c r="G618">
        <v>39</v>
      </c>
      <c r="H618">
        <v>498</v>
      </c>
      <c r="I618" t="s">
        <v>698</v>
      </c>
      <c r="J618" t="s">
        <v>25</v>
      </c>
      <c r="K618">
        <v>400</v>
      </c>
      <c r="L618" s="7">
        <f t="shared" si="18"/>
        <v>19422</v>
      </c>
      <c r="M618" s="7">
        <f>dataset!$L618-T618</f>
        <v>3822</v>
      </c>
      <c r="N618" s="7">
        <f>dataset!$M618/dataset!$L618*100</f>
        <v>19.678714859437751</v>
      </c>
      <c r="O618" s="25">
        <f>dataset!$K618*dataset!$G618</f>
        <v>15600</v>
      </c>
      <c r="P618"/>
      <c r="T618">
        <f>dataset!$K618*dataset!$G618</f>
        <v>15600</v>
      </c>
    </row>
    <row r="619" spans="1:20" x14ac:dyDescent="0.35">
      <c r="A619" s="2">
        <v>45792</v>
      </c>
      <c r="B619">
        <f t="shared" si="19"/>
        <v>15</v>
      </c>
      <c r="C619" t="s">
        <v>26</v>
      </c>
      <c r="D619" t="s">
        <v>33</v>
      </c>
      <c r="E619" t="s">
        <v>42</v>
      </c>
      <c r="F619" t="s">
        <v>18</v>
      </c>
      <c r="G619">
        <v>19</v>
      </c>
      <c r="H619">
        <v>2709</v>
      </c>
      <c r="I619" t="s">
        <v>699</v>
      </c>
      <c r="J619" t="s">
        <v>25</v>
      </c>
      <c r="K619">
        <v>1700</v>
      </c>
      <c r="L619" s="7">
        <f t="shared" si="18"/>
        <v>51471</v>
      </c>
      <c r="M619" s="7">
        <f>dataset!$L619-T619</f>
        <v>19171</v>
      </c>
      <c r="N619" s="7">
        <f>dataset!$M619/dataset!$L619*100</f>
        <v>37.246216315983759</v>
      </c>
      <c r="O619" s="25">
        <f>dataset!$K619*dataset!$G619</f>
        <v>32300</v>
      </c>
      <c r="P619"/>
      <c r="T619">
        <f>dataset!$K619*dataset!$G619</f>
        <v>32300</v>
      </c>
    </row>
    <row r="620" spans="1:20" x14ac:dyDescent="0.35">
      <c r="A620" s="2">
        <v>45819</v>
      </c>
      <c r="B620">
        <f t="shared" si="19"/>
        <v>11</v>
      </c>
      <c r="C620" t="s">
        <v>10</v>
      </c>
      <c r="D620" t="s">
        <v>11</v>
      </c>
      <c r="E620" t="s">
        <v>67</v>
      </c>
      <c r="F620" t="s">
        <v>40</v>
      </c>
      <c r="G620">
        <v>30</v>
      </c>
      <c r="H620">
        <v>2391</v>
      </c>
      <c r="I620" t="s">
        <v>700</v>
      </c>
      <c r="J620" t="s">
        <v>15</v>
      </c>
      <c r="K620">
        <v>1950</v>
      </c>
      <c r="L620" s="7">
        <f t="shared" si="18"/>
        <v>71730</v>
      </c>
      <c r="M620" s="7">
        <f>dataset!$L620-T620</f>
        <v>13230</v>
      </c>
      <c r="N620" s="7">
        <f>dataset!$M620/dataset!$L620*100</f>
        <v>18.444165621079048</v>
      </c>
      <c r="O620" s="25">
        <f>dataset!$K620*dataset!$G620</f>
        <v>58500</v>
      </c>
      <c r="P620"/>
      <c r="T620">
        <f>dataset!$K620*dataset!$G620</f>
        <v>58500</v>
      </c>
    </row>
    <row r="621" spans="1:20" x14ac:dyDescent="0.35">
      <c r="A621" s="2">
        <v>45768</v>
      </c>
      <c r="B621">
        <f t="shared" si="19"/>
        <v>21</v>
      </c>
      <c r="C621" t="s">
        <v>26</v>
      </c>
      <c r="D621" t="s">
        <v>11</v>
      </c>
      <c r="E621" t="s">
        <v>12</v>
      </c>
      <c r="F621" t="s">
        <v>13</v>
      </c>
      <c r="G621">
        <v>14</v>
      </c>
      <c r="H621">
        <v>2683</v>
      </c>
      <c r="I621" t="s">
        <v>701</v>
      </c>
      <c r="J621" t="s">
        <v>15</v>
      </c>
      <c r="K621">
        <v>2400</v>
      </c>
      <c r="L621" s="7">
        <f t="shared" si="18"/>
        <v>37562</v>
      </c>
      <c r="M621" s="7">
        <f>dataset!$L621-T621</f>
        <v>3962</v>
      </c>
      <c r="N621" s="7">
        <f>dataset!$M621/dataset!$L621*100</f>
        <v>10.54789414834141</v>
      </c>
      <c r="O621" s="25">
        <f>dataset!$K621*dataset!$G621</f>
        <v>33600</v>
      </c>
      <c r="P621"/>
      <c r="T621">
        <f>dataset!$K621*dataset!$G621</f>
        <v>33600</v>
      </c>
    </row>
    <row r="622" spans="1:20" x14ac:dyDescent="0.35">
      <c r="A622" s="2">
        <v>45787</v>
      </c>
      <c r="B622">
        <f t="shared" si="19"/>
        <v>10</v>
      </c>
      <c r="C622" t="s">
        <v>29</v>
      </c>
      <c r="D622" t="s">
        <v>33</v>
      </c>
      <c r="E622" t="s">
        <v>64</v>
      </c>
      <c r="F622" t="s">
        <v>31</v>
      </c>
      <c r="G622">
        <v>7</v>
      </c>
      <c r="H622">
        <v>2674</v>
      </c>
      <c r="I622" t="s">
        <v>702</v>
      </c>
      <c r="J622" t="s">
        <v>25</v>
      </c>
      <c r="K622">
        <v>1450</v>
      </c>
      <c r="L622" s="7">
        <f t="shared" si="18"/>
        <v>18718</v>
      </c>
      <c r="M622" s="7">
        <f>dataset!$L622-T622</f>
        <v>8568</v>
      </c>
      <c r="N622" s="7">
        <f>dataset!$M622/dataset!$L622*100</f>
        <v>45.774121166791325</v>
      </c>
      <c r="O622" s="25">
        <f>dataset!$K622*dataset!$G622</f>
        <v>10150</v>
      </c>
      <c r="P622"/>
      <c r="T622">
        <f>dataset!$K622*dataset!$G622</f>
        <v>10150</v>
      </c>
    </row>
    <row r="623" spans="1:20" x14ac:dyDescent="0.35">
      <c r="A623" s="2">
        <v>45812</v>
      </c>
      <c r="B623">
        <f t="shared" si="19"/>
        <v>4</v>
      </c>
      <c r="C623" t="s">
        <v>20</v>
      </c>
      <c r="D623" t="s">
        <v>11</v>
      </c>
      <c r="E623" t="s">
        <v>75</v>
      </c>
      <c r="F623" t="s">
        <v>18</v>
      </c>
      <c r="G623">
        <v>14</v>
      </c>
      <c r="H623">
        <v>1549</v>
      </c>
      <c r="I623" t="s">
        <v>703</v>
      </c>
      <c r="J623" t="s">
        <v>15</v>
      </c>
      <c r="K623">
        <v>800</v>
      </c>
      <c r="L623" s="7">
        <f t="shared" si="18"/>
        <v>21686</v>
      </c>
      <c r="M623" s="7">
        <f>dataset!$L623-T623</f>
        <v>10486</v>
      </c>
      <c r="N623" s="7">
        <f>dataset!$M623/dataset!$L623*100</f>
        <v>48.353776630083928</v>
      </c>
      <c r="O623" s="25">
        <f>dataset!$K623*dataset!$G623</f>
        <v>11200</v>
      </c>
      <c r="P623"/>
      <c r="T623">
        <f>dataset!$K623*dataset!$G623</f>
        <v>11200</v>
      </c>
    </row>
    <row r="624" spans="1:20" x14ac:dyDescent="0.35">
      <c r="A624" s="2">
        <v>45832</v>
      </c>
      <c r="B624">
        <f t="shared" si="19"/>
        <v>24</v>
      </c>
      <c r="C624" t="s">
        <v>20</v>
      </c>
      <c r="D624" t="s">
        <v>36</v>
      </c>
      <c r="E624" t="s">
        <v>17</v>
      </c>
      <c r="F624" t="s">
        <v>18</v>
      </c>
      <c r="G624">
        <v>28</v>
      </c>
      <c r="H624">
        <v>844</v>
      </c>
      <c r="I624" t="s">
        <v>110</v>
      </c>
      <c r="J624" t="s">
        <v>15</v>
      </c>
      <c r="K624">
        <v>550</v>
      </c>
      <c r="L624" s="7">
        <f t="shared" si="18"/>
        <v>23632</v>
      </c>
      <c r="M624" s="7">
        <f>dataset!$L624-T624</f>
        <v>8232</v>
      </c>
      <c r="N624" s="7">
        <f>dataset!$M624/dataset!$L624*100</f>
        <v>34.834123222748815</v>
      </c>
      <c r="O624" s="25">
        <f>dataset!$K624*dataset!$G624</f>
        <v>15400</v>
      </c>
      <c r="P624"/>
      <c r="T624">
        <f>dataset!$K624*dataset!$G624</f>
        <v>15400</v>
      </c>
    </row>
    <row r="625" spans="1:20" x14ac:dyDescent="0.35">
      <c r="A625" s="2">
        <v>45830</v>
      </c>
      <c r="B625">
        <f t="shared" si="19"/>
        <v>22</v>
      </c>
      <c r="C625" t="s">
        <v>10</v>
      </c>
      <c r="D625" t="s">
        <v>27</v>
      </c>
      <c r="E625" t="s">
        <v>30</v>
      </c>
      <c r="F625" t="s">
        <v>56</v>
      </c>
      <c r="G625">
        <v>22</v>
      </c>
      <c r="H625">
        <v>2841</v>
      </c>
      <c r="I625" t="s">
        <v>704</v>
      </c>
      <c r="J625" t="s">
        <v>25</v>
      </c>
      <c r="K625">
        <v>2100</v>
      </c>
      <c r="L625" s="7">
        <f t="shared" si="18"/>
        <v>62502</v>
      </c>
      <c r="M625" s="7">
        <f>dataset!$L625-T625</f>
        <v>16302</v>
      </c>
      <c r="N625" s="7">
        <f>dataset!$M625/dataset!$L625*100</f>
        <v>26.082365364308341</v>
      </c>
      <c r="O625" s="25">
        <f>dataset!$K625*dataset!$G625</f>
        <v>46200</v>
      </c>
      <c r="P625"/>
      <c r="T625">
        <f>dataset!$K625*dataset!$G625</f>
        <v>46200</v>
      </c>
    </row>
    <row r="626" spans="1:20" x14ac:dyDescent="0.35">
      <c r="A626" s="2">
        <v>45775</v>
      </c>
      <c r="B626">
        <f t="shared" si="19"/>
        <v>28</v>
      </c>
      <c r="C626" t="s">
        <v>35</v>
      </c>
      <c r="D626" t="s">
        <v>36</v>
      </c>
      <c r="E626" t="s">
        <v>64</v>
      </c>
      <c r="F626" t="s">
        <v>59</v>
      </c>
      <c r="G626">
        <v>31</v>
      </c>
      <c r="H626">
        <v>2562</v>
      </c>
      <c r="I626" t="s">
        <v>705</v>
      </c>
      <c r="J626" t="s">
        <v>25</v>
      </c>
      <c r="K626">
        <v>2250</v>
      </c>
      <c r="L626" s="7">
        <f t="shared" si="18"/>
        <v>79422</v>
      </c>
      <c r="M626" s="7">
        <f>dataset!$L626-T626</f>
        <v>9672</v>
      </c>
      <c r="N626" s="7">
        <f>dataset!$M626/dataset!$L626*100</f>
        <v>12.177985948477751</v>
      </c>
      <c r="O626" s="25">
        <f>dataset!$K626*dataset!$G626</f>
        <v>69750</v>
      </c>
      <c r="P626"/>
      <c r="T626">
        <f>dataset!$K626*dataset!$G626</f>
        <v>69750</v>
      </c>
    </row>
    <row r="627" spans="1:20" x14ac:dyDescent="0.35">
      <c r="A627" s="2">
        <v>45822</v>
      </c>
      <c r="B627">
        <f t="shared" si="19"/>
        <v>14</v>
      </c>
      <c r="C627" t="s">
        <v>26</v>
      </c>
      <c r="D627" t="s">
        <v>21</v>
      </c>
      <c r="E627" t="s">
        <v>75</v>
      </c>
      <c r="F627" t="s">
        <v>40</v>
      </c>
      <c r="G627">
        <v>41</v>
      </c>
      <c r="H627">
        <v>679</v>
      </c>
      <c r="I627" t="s">
        <v>706</v>
      </c>
      <c r="J627" t="s">
        <v>25</v>
      </c>
      <c r="K627">
        <v>500</v>
      </c>
      <c r="L627" s="7">
        <f t="shared" si="18"/>
        <v>27839</v>
      </c>
      <c r="M627" s="7">
        <f>dataset!$L627-T627</f>
        <v>7339</v>
      </c>
      <c r="N627" s="7">
        <f>dataset!$M627/dataset!$L627*100</f>
        <v>26.362297496318117</v>
      </c>
      <c r="O627" s="25">
        <f>dataset!$K627*dataset!$G627</f>
        <v>20500</v>
      </c>
      <c r="P627"/>
      <c r="T627">
        <f>dataset!$K627*dataset!$G627</f>
        <v>20500</v>
      </c>
    </row>
    <row r="628" spans="1:20" x14ac:dyDescent="0.35">
      <c r="A628" s="2">
        <v>45775</v>
      </c>
      <c r="B628">
        <f t="shared" si="19"/>
        <v>28</v>
      </c>
      <c r="C628" t="s">
        <v>20</v>
      </c>
      <c r="D628" t="s">
        <v>16</v>
      </c>
      <c r="E628" t="s">
        <v>22</v>
      </c>
      <c r="F628" t="s">
        <v>18</v>
      </c>
      <c r="G628">
        <v>15</v>
      </c>
      <c r="H628">
        <v>1919</v>
      </c>
      <c r="I628" t="s">
        <v>707</v>
      </c>
      <c r="J628" t="s">
        <v>25</v>
      </c>
      <c r="K628">
        <v>1650</v>
      </c>
      <c r="L628" s="7">
        <f t="shared" si="18"/>
        <v>28785</v>
      </c>
      <c r="M628" s="7">
        <f>dataset!$L628-T628</f>
        <v>4035</v>
      </c>
      <c r="N628" s="7">
        <f>dataset!$M628/dataset!$L628*100</f>
        <v>14.017717561229807</v>
      </c>
      <c r="O628" s="25">
        <f>dataset!$K628*dataset!$G628</f>
        <v>24750</v>
      </c>
      <c r="P628"/>
      <c r="T628">
        <f>dataset!$K628*dataset!$G628</f>
        <v>24750</v>
      </c>
    </row>
    <row r="629" spans="1:20" x14ac:dyDescent="0.35">
      <c r="A629" s="2">
        <v>45837</v>
      </c>
      <c r="B629">
        <f t="shared" si="19"/>
        <v>29</v>
      </c>
      <c r="C629" t="s">
        <v>26</v>
      </c>
      <c r="D629" t="s">
        <v>36</v>
      </c>
      <c r="E629" t="s">
        <v>12</v>
      </c>
      <c r="F629" t="s">
        <v>40</v>
      </c>
      <c r="G629">
        <v>27</v>
      </c>
      <c r="H629">
        <v>2843</v>
      </c>
      <c r="I629" t="s">
        <v>708</v>
      </c>
      <c r="J629" t="s">
        <v>25</v>
      </c>
      <c r="K629">
        <v>2050</v>
      </c>
      <c r="L629" s="7">
        <f t="shared" si="18"/>
        <v>76761</v>
      </c>
      <c r="M629" s="7">
        <f>dataset!$L629-T629</f>
        <v>21411</v>
      </c>
      <c r="N629" s="7">
        <f>dataset!$M629/dataset!$L629*100</f>
        <v>27.893070699964827</v>
      </c>
      <c r="O629" s="25">
        <f>dataset!$K629*dataset!$G629</f>
        <v>55350</v>
      </c>
      <c r="P629"/>
      <c r="T629">
        <f>dataset!$K629*dataset!$G629</f>
        <v>55350</v>
      </c>
    </row>
    <row r="630" spans="1:20" x14ac:dyDescent="0.35">
      <c r="A630" s="2">
        <v>45775</v>
      </c>
      <c r="B630">
        <f t="shared" si="19"/>
        <v>28</v>
      </c>
      <c r="C630" t="s">
        <v>35</v>
      </c>
      <c r="D630" t="s">
        <v>33</v>
      </c>
      <c r="E630" t="s">
        <v>30</v>
      </c>
      <c r="F630" t="s">
        <v>31</v>
      </c>
      <c r="G630">
        <v>39</v>
      </c>
      <c r="H630">
        <v>1975</v>
      </c>
      <c r="I630" t="s">
        <v>709</v>
      </c>
      <c r="J630" t="s">
        <v>15</v>
      </c>
      <c r="K630">
        <v>1200</v>
      </c>
      <c r="L630" s="7">
        <f t="shared" si="18"/>
        <v>77025</v>
      </c>
      <c r="M630" s="7">
        <f>dataset!$L630-T630</f>
        <v>30225</v>
      </c>
      <c r="N630" s="7">
        <f>dataset!$M630/dataset!$L630*100</f>
        <v>39.24050632911392</v>
      </c>
      <c r="O630" s="25">
        <f>dataset!$K630*dataset!$G630</f>
        <v>46800</v>
      </c>
      <c r="P630"/>
      <c r="T630">
        <f>dataset!$K630*dataset!$G630</f>
        <v>46800</v>
      </c>
    </row>
    <row r="631" spans="1:20" x14ac:dyDescent="0.35">
      <c r="A631" s="2">
        <v>45765</v>
      </c>
      <c r="B631">
        <f t="shared" si="19"/>
        <v>18</v>
      </c>
      <c r="C631" t="s">
        <v>26</v>
      </c>
      <c r="D631" t="s">
        <v>46</v>
      </c>
      <c r="E631" t="s">
        <v>30</v>
      </c>
      <c r="F631" t="s">
        <v>18</v>
      </c>
      <c r="G631">
        <v>17</v>
      </c>
      <c r="H631">
        <v>2348</v>
      </c>
      <c r="I631" t="s">
        <v>710</v>
      </c>
      <c r="J631" t="s">
        <v>15</v>
      </c>
      <c r="K631">
        <v>1900</v>
      </c>
      <c r="L631" s="7">
        <f t="shared" si="18"/>
        <v>39916</v>
      </c>
      <c r="M631" s="7">
        <f>dataset!$L631-T631</f>
        <v>7616</v>
      </c>
      <c r="N631" s="7">
        <f>dataset!$M631/dataset!$L631*100</f>
        <v>19.080068143100512</v>
      </c>
      <c r="O631" s="25">
        <f>dataset!$K631*dataset!$G631</f>
        <v>32300</v>
      </c>
      <c r="P631"/>
      <c r="T631">
        <f>dataset!$K631*dataset!$G631</f>
        <v>32300</v>
      </c>
    </row>
    <row r="632" spans="1:20" x14ac:dyDescent="0.35">
      <c r="A632" s="2">
        <v>45792</v>
      </c>
      <c r="B632">
        <f t="shared" si="19"/>
        <v>15</v>
      </c>
      <c r="C632" t="s">
        <v>20</v>
      </c>
      <c r="D632" t="s">
        <v>16</v>
      </c>
      <c r="E632" t="s">
        <v>54</v>
      </c>
      <c r="F632" t="s">
        <v>23</v>
      </c>
      <c r="G632">
        <v>17</v>
      </c>
      <c r="H632">
        <v>1611</v>
      </c>
      <c r="I632" t="s">
        <v>711</v>
      </c>
      <c r="J632" t="s">
        <v>25</v>
      </c>
      <c r="K632">
        <v>1000</v>
      </c>
      <c r="L632" s="7">
        <f t="shared" si="18"/>
        <v>27387</v>
      </c>
      <c r="M632" s="7">
        <f>dataset!$L632-T632</f>
        <v>10387</v>
      </c>
      <c r="N632" s="7">
        <f>dataset!$M632/dataset!$L632*100</f>
        <v>37.92675356921167</v>
      </c>
      <c r="O632" s="25">
        <f>dataset!$K632*dataset!$G632</f>
        <v>17000</v>
      </c>
      <c r="P632"/>
      <c r="T632">
        <f>dataset!$K632*dataset!$G632</f>
        <v>17000</v>
      </c>
    </row>
    <row r="633" spans="1:20" x14ac:dyDescent="0.35">
      <c r="A633" s="2">
        <v>45804</v>
      </c>
      <c r="B633">
        <f t="shared" si="19"/>
        <v>27</v>
      </c>
      <c r="C633" t="s">
        <v>29</v>
      </c>
      <c r="D633" t="s">
        <v>66</v>
      </c>
      <c r="E633" t="s">
        <v>12</v>
      </c>
      <c r="F633" t="s">
        <v>52</v>
      </c>
      <c r="G633">
        <v>46</v>
      </c>
      <c r="H633">
        <v>2182</v>
      </c>
      <c r="I633" t="s">
        <v>712</v>
      </c>
      <c r="J633" t="s">
        <v>25</v>
      </c>
      <c r="K633">
        <v>1250</v>
      </c>
      <c r="L633" s="7">
        <f t="shared" si="18"/>
        <v>100372</v>
      </c>
      <c r="M633" s="7">
        <f>dataset!$L633-T633</f>
        <v>42872</v>
      </c>
      <c r="N633" s="7">
        <f>dataset!$M633/dataset!$L633*100</f>
        <v>42.713107241063248</v>
      </c>
      <c r="O633" s="25">
        <f>dataset!$K633*dataset!$G633</f>
        <v>57500</v>
      </c>
      <c r="P633"/>
      <c r="T633">
        <f>dataset!$K633*dataset!$G633</f>
        <v>57500</v>
      </c>
    </row>
    <row r="634" spans="1:20" x14ac:dyDescent="0.35">
      <c r="A634" s="2">
        <v>45777</v>
      </c>
      <c r="B634">
        <f t="shared" si="19"/>
        <v>30</v>
      </c>
      <c r="C634" t="s">
        <v>10</v>
      </c>
      <c r="D634" t="s">
        <v>11</v>
      </c>
      <c r="E634" t="s">
        <v>54</v>
      </c>
      <c r="F634" t="s">
        <v>56</v>
      </c>
      <c r="G634">
        <v>36</v>
      </c>
      <c r="H634">
        <v>555</v>
      </c>
      <c r="I634" t="s">
        <v>713</v>
      </c>
      <c r="J634" t="s">
        <v>15</v>
      </c>
      <c r="K634">
        <v>450</v>
      </c>
      <c r="L634" s="7">
        <f t="shared" si="18"/>
        <v>19980</v>
      </c>
      <c r="M634" s="7">
        <f>dataset!$L634-T634</f>
        <v>3780</v>
      </c>
      <c r="N634" s="7">
        <f>dataset!$M634/dataset!$L634*100</f>
        <v>18.918918918918919</v>
      </c>
      <c r="O634" s="25">
        <f>dataset!$K634*dataset!$G634</f>
        <v>16200</v>
      </c>
      <c r="P634"/>
      <c r="T634">
        <f>dataset!$K634*dataset!$G634</f>
        <v>16200</v>
      </c>
    </row>
    <row r="635" spans="1:20" x14ac:dyDescent="0.35">
      <c r="A635" s="2">
        <v>45794</v>
      </c>
      <c r="B635">
        <f t="shared" si="19"/>
        <v>17</v>
      </c>
      <c r="C635" t="s">
        <v>29</v>
      </c>
      <c r="D635" t="s">
        <v>11</v>
      </c>
      <c r="E635" t="s">
        <v>75</v>
      </c>
      <c r="F635" t="s">
        <v>56</v>
      </c>
      <c r="G635">
        <v>46</v>
      </c>
      <c r="H635">
        <v>489</v>
      </c>
      <c r="I635" t="s">
        <v>111</v>
      </c>
      <c r="J635" t="s">
        <v>15</v>
      </c>
      <c r="K635">
        <v>400</v>
      </c>
      <c r="L635" s="7">
        <f t="shared" si="18"/>
        <v>22494</v>
      </c>
      <c r="M635" s="7">
        <f>dataset!$L635-T635</f>
        <v>4094</v>
      </c>
      <c r="N635" s="7">
        <f>dataset!$M635/dataset!$L635*100</f>
        <v>18.200408997955012</v>
      </c>
      <c r="O635" s="25">
        <f>dataset!$K635*dataset!$G635</f>
        <v>18400</v>
      </c>
      <c r="P635"/>
      <c r="T635">
        <f>dataset!$K635*dataset!$G635</f>
        <v>18400</v>
      </c>
    </row>
    <row r="636" spans="1:20" x14ac:dyDescent="0.35">
      <c r="A636" s="2">
        <v>45824</v>
      </c>
      <c r="B636">
        <f t="shared" si="19"/>
        <v>16</v>
      </c>
      <c r="C636" t="s">
        <v>20</v>
      </c>
      <c r="D636" t="s">
        <v>27</v>
      </c>
      <c r="E636" t="s">
        <v>39</v>
      </c>
      <c r="F636" t="s">
        <v>52</v>
      </c>
      <c r="G636">
        <v>39</v>
      </c>
      <c r="H636">
        <v>2050</v>
      </c>
      <c r="I636" t="s">
        <v>714</v>
      </c>
      <c r="J636" t="s">
        <v>15</v>
      </c>
      <c r="K636">
        <v>1400</v>
      </c>
      <c r="L636" s="7">
        <f t="shared" si="18"/>
        <v>79950</v>
      </c>
      <c r="M636" s="7">
        <f>dataset!$L636-T636</f>
        <v>25350</v>
      </c>
      <c r="N636" s="7">
        <f>dataset!$M636/dataset!$L636*100</f>
        <v>31.707317073170731</v>
      </c>
      <c r="O636" s="25">
        <f>dataset!$K636*dataset!$G636</f>
        <v>54600</v>
      </c>
      <c r="P636"/>
      <c r="T636">
        <f>dataset!$K636*dataset!$G636</f>
        <v>54600</v>
      </c>
    </row>
    <row r="637" spans="1:20" x14ac:dyDescent="0.35">
      <c r="A637" s="2">
        <v>45767</v>
      </c>
      <c r="B637">
        <f t="shared" si="19"/>
        <v>20</v>
      </c>
      <c r="C637" t="s">
        <v>10</v>
      </c>
      <c r="D637" t="s">
        <v>27</v>
      </c>
      <c r="E637" t="s">
        <v>42</v>
      </c>
      <c r="F637" t="s">
        <v>47</v>
      </c>
      <c r="G637">
        <v>13</v>
      </c>
      <c r="H637">
        <v>692</v>
      </c>
      <c r="I637" t="s">
        <v>715</v>
      </c>
      <c r="J637" t="s">
        <v>15</v>
      </c>
      <c r="K637">
        <v>450</v>
      </c>
      <c r="L637" s="7">
        <f t="shared" si="18"/>
        <v>8996</v>
      </c>
      <c r="M637" s="7">
        <f>dataset!$L637-T637</f>
        <v>3146</v>
      </c>
      <c r="N637" s="7">
        <f>dataset!$M637/dataset!$L637*100</f>
        <v>34.971098265895954</v>
      </c>
      <c r="O637" s="25">
        <f>dataset!$K637*dataset!$G637</f>
        <v>5850</v>
      </c>
      <c r="P637"/>
      <c r="T637">
        <f>dataset!$K637*dataset!$G637</f>
        <v>5850</v>
      </c>
    </row>
    <row r="638" spans="1:20" x14ac:dyDescent="0.35">
      <c r="A638" s="2">
        <v>45748</v>
      </c>
      <c r="B638">
        <f t="shared" si="19"/>
        <v>1</v>
      </c>
      <c r="C638" t="s">
        <v>20</v>
      </c>
      <c r="D638" t="s">
        <v>21</v>
      </c>
      <c r="E638" t="s">
        <v>54</v>
      </c>
      <c r="F638" t="s">
        <v>23</v>
      </c>
      <c r="G638">
        <v>35</v>
      </c>
      <c r="H638">
        <v>681</v>
      </c>
      <c r="I638" t="s">
        <v>716</v>
      </c>
      <c r="J638" t="s">
        <v>25</v>
      </c>
      <c r="K638">
        <v>400</v>
      </c>
      <c r="L638" s="7">
        <f t="shared" si="18"/>
        <v>23835</v>
      </c>
      <c r="M638" s="7">
        <f>dataset!$L638-T638</f>
        <v>9835</v>
      </c>
      <c r="N638" s="7">
        <f>dataset!$M638/dataset!$L638*100</f>
        <v>41.262848751835534</v>
      </c>
      <c r="O638" s="25">
        <f>dataset!$K638*dataset!$G638</f>
        <v>14000</v>
      </c>
      <c r="P638"/>
      <c r="T638">
        <f>dataset!$K638*dataset!$G638</f>
        <v>14000</v>
      </c>
    </row>
    <row r="639" spans="1:20" x14ac:dyDescent="0.35">
      <c r="A639" s="2">
        <v>45756</v>
      </c>
      <c r="B639">
        <f t="shared" si="19"/>
        <v>9</v>
      </c>
      <c r="C639" t="s">
        <v>20</v>
      </c>
      <c r="D639" t="s">
        <v>27</v>
      </c>
      <c r="E639" t="s">
        <v>30</v>
      </c>
      <c r="F639" t="s">
        <v>13</v>
      </c>
      <c r="G639">
        <v>26</v>
      </c>
      <c r="H639">
        <v>1636</v>
      </c>
      <c r="I639" t="s">
        <v>717</v>
      </c>
      <c r="J639" t="s">
        <v>25</v>
      </c>
      <c r="K639">
        <v>1200</v>
      </c>
      <c r="L639" s="7">
        <f t="shared" si="18"/>
        <v>42536</v>
      </c>
      <c r="M639" s="7">
        <f>dataset!$L639-T639</f>
        <v>11336</v>
      </c>
      <c r="N639" s="7">
        <f>dataset!$M639/dataset!$L639*100</f>
        <v>26.65036674816626</v>
      </c>
      <c r="O639" s="25">
        <f>dataset!$K639*dataset!$G639</f>
        <v>31200</v>
      </c>
      <c r="P639"/>
      <c r="T639">
        <f>dataset!$K639*dataset!$G639</f>
        <v>31200</v>
      </c>
    </row>
    <row r="640" spans="1:20" x14ac:dyDescent="0.35">
      <c r="A640" s="2">
        <v>45833</v>
      </c>
      <c r="B640">
        <f t="shared" si="19"/>
        <v>25</v>
      </c>
      <c r="C640" t="s">
        <v>29</v>
      </c>
      <c r="D640" t="s">
        <v>66</v>
      </c>
      <c r="E640" t="s">
        <v>67</v>
      </c>
      <c r="F640" t="s">
        <v>23</v>
      </c>
      <c r="G640">
        <v>30</v>
      </c>
      <c r="H640">
        <v>2795</v>
      </c>
      <c r="I640" t="s">
        <v>718</v>
      </c>
      <c r="J640" t="s">
        <v>25</v>
      </c>
      <c r="K640">
        <v>1750</v>
      </c>
      <c r="L640" s="7">
        <f t="shared" si="18"/>
        <v>83850</v>
      </c>
      <c r="M640" s="7">
        <f>dataset!$L640-T640</f>
        <v>31350</v>
      </c>
      <c r="N640" s="7">
        <f>dataset!$M640/dataset!$L640*100</f>
        <v>37.388193202146688</v>
      </c>
      <c r="O640" s="25">
        <f>dataset!$K640*dataset!$G640</f>
        <v>52500</v>
      </c>
      <c r="P640"/>
      <c r="T640">
        <f>dataset!$K640*dataset!$G640</f>
        <v>52500</v>
      </c>
    </row>
    <row r="641" spans="1:20" x14ac:dyDescent="0.35">
      <c r="A641" s="2">
        <v>45757</v>
      </c>
      <c r="B641">
        <f t="shared" si="19"/>
        <v>10</v>
      </c>
      <c r="C641" t="s">
        <v>10</v>
      </c>
      <c r="D641" t="s">
        <v>33</v>
      </c>
      <c r="E641" t="s">
        <v>42</v>
      </c>
      <c r="F641" t="s">
        <v>56</v>
      </c>
      <c r="G641">
        <v>18</v>
      </c>
      <c r="H641">
        <v>2846</v>
      </c>
      <c r="I641" t="s">
        <v>719</v>
      </c>
      <c r="J641" t="s">
        <v>15</v>
      </c>
      <c r="K641">
        <v>2500</v>
      </c>
      <c r="L641" s="7">
        <f t="shared" si="18"/>
        <v>51228</v>
      </c>
      <c r="M641" s="7">
        <f>dataset!$L641-T641</f>
        <v>6228</v>
      </c>
      <c r="N641" s="7">
        <f>dataset!$M641/dataset!$L641*100</f>
        <v>12.157413914265636</v>
      </c>
      <c r="O641" s="25">
        <f>dataset!$K641*dataset!$G641</f>
        <v>45000</v>
      </c>
      <c r="P641"/>
      <c r="T641">
        <f>dataset!$K641*dataset!$G641</f>
        <v>45000</v>
      </c>
    </row>
    <row r="642" spans="1:20" x14ac:dyDescent="0.35">
      <c r="A642" s="2">
        <v>45835</v>
      </c>
      <c r="B642">
        <f t="shared" si="19"/>
        <v>27</v>
      </c>
      <c r="C642" t="s">
        <v>35</v>
      </c>
      <c r="D642" t="s">
        <v>16</v>
      </c>
      <c r="E642" t="s">
        <v>75</v>
      </c>
      <c r="F642" t="s">
        <v>23</v>
      </c>
      <c r="G642">
        <v>24</v>
      </c>
      <c r="H642">
        <v>366</v>
      </c>
      <c r="I642" t="s">
        <v>720</v>
      </c>
      <c r="J642" t="s">
        <v>25</v>
      </c>
      <c r="K642">
        <v>200</v>
      </c>
      <c r="L642" s="7">
        <f t="shared" ref="L642:L705" si="20">G642*H642</f>
        <v>8784</v>
      </c>
      <c r="M642" s="7">
        <f>dataset!$L642-T642</f>
        <v>3984</v>
      </c>
      <c r="N642" s="7">
        <f>dataset!$M642/dataset!$L642*100</f>
        <v>45.355191256830601</v>
      </c>
      <c r="O642" s="25">
        <f>dataset!$K642*dataset!$G642</f>
        <v>4800</v>
      </c>
      <c r="P642"/>
      <c r="T642">
        <f>dataset!$K642*dataset!$G642</f>
        <v>4800</v>
      </c>
    </row>
    <row r="643" spans="1:20" x14ac:dyDescent="0.35">
      <c r="A643" s="2">
        <v>45780</v>
      </c>
      <c r="B643">
        <f t="shared" ref="B643:B706" si="21">DAY(A643)</f>
        <v>3</v>
      </c>
      <c r="C643" t="s">
        <v>10</v>
      </c>
      <c r="D643" t="s">
        <v>21</v>
      </c>
      <c r="E643" t="s">
        <v>75</v>
      </c>
      <c r="F643" t="s">
        <v>56</v>
      </c>
      <c r="G643">
        <v>45</v>
      </c>
      <c r="H643">
        <v>990</v>
      </c>
      <c r="I643" t="s">
        <v>721</v>
      </c>
      <c r="J643" t="s">
        <v>15</v>
      </c>
      <c r="K643">
        <v>750</v>
      </c>
      <c r="L643" s="7">
        <f t="shared" si="20"/>
        <v>44550</v>
      </c>
      <c r="M643" s="7">
        <f>dataset!$L643-T643</f>
        <v>10800</v>
      </c>
      <c r="N643" s="7">
        <f>dataset!$M643/dataset!$L643*100</f>
        <v>24.242424242424242</v>
      </c>
      <c r="O643" s="25">
        <f>dataset!$K643*dataset!$G643</f>
        <v>33750</v>
      </c>
      <c r="P643"/>
      <c r="T643">
        <f>dataset!$K643*dataset!$G643</f>
        <v>33750</v>
      </c>
    </row>
    <row r="644" spans="1:20" x14ac:dyDescent="0.35">
      <c r="A644" s="2">
        <v>45763</v>
      </c>
      <c r="B644">
        <f t="shared" si="21"/>
        <v>16</v>
      </c>
      <c r="C644" t="s">
        <v>26</v>
      </c>
      <c r="D644" t="s">
        <v>33</v>
      </c>
      <c r="E644" t="s">
        <v>75</v>
      </c>
      <c r="F644" t="s">
        <v>59</v>
      </c>
      <c r="G644">
        <v>24</v>
      </c>
      <c r="H644">
        <v>1957</v>
      </c>
      <c r="I644" t="s">
        <v>722</v>
      </c>
      <c r="J644" t="s">
        <v>15</v>
      </c>
      <c r="K644">
        <v>1250</v>
      </c>
      <c r="L644" s="7">
        <f t="shared" si="20"/>
        <v>46968</v>
      </c>
      <c r="M644" s="7">
        <f>dataset!$L644-T644</f>
        <v>16968</v>
      </c>
      <c r="N644" s="7">
        <f>dataset!$M644/dataset!$L644*100</f>
        <v>36.126724578436381</v>
      </c>
      <c r="O644" s="25">
        <f>dataset!$K644*dataset!$G644</f>
        <v>30000</v>
      </c>
      <c r="P644"/>
      <c r="T644">
        <f>dataset!$K644*dataset!$G644</f>
        <v>30000</v>
      </c>
    </row>
    <row r="645" spans="1:20" x14ac:dyDescent="0.35">
      <c r="A645" s="2">
        <v>45802</v>
      </c>
      <c r="B645">
        <f t="shared" si="21"/>
        <v>25</v>
      </c>
      <c r="C645" t="s">
        <v>10</v>
      </c>
      <c r="D645" t="s">
        <v>33</v>
      </c>
      <c r="E645" t="s">
        <v>64</v>
      </c>
      <c r="F645" t="s">
        <v>56</v>
      </c>
      <c r="G645">
        <v>18</v>
      </c>
      <c r="H645">
        <v>2766</v>
      </c>
      <c r="I645" t="s">
        <v>723</v>
      </c>
      <c r="J645" t="s">
        <v>15</v>
      </c>
      <c r="K645">
        <v>1600</v>
      </c>
      <c r="L645" s="7">
        <f t="shared" si="20"/>
        <v>49788</v>
      </c>
      <c r="M645" s="7">
        <f>dataset!$L645-T645</f>
        <v>20988</v>
      </c>
      <c r="N645" s="7">
        <f>dataset!$M645/dataset!$L645*100</f>
        <v>42.154736080983369</v>
      </c>
      <c r="O645" s="25">
        <f>dataset!$K645*dataset!$G645</f>
        <v>28800</v>
      </c>
      <c r="P645"/>
      <c r="T645">
        <f>dataset!$K645*dataset!$G645</f>
        <v>28800</v>
      </c>
    </row>
    <row r="646" spans="1:20" x14ac:dyDescent="0.35">
      <c r="A646" s="2">
        <v>45798</v>
      </c>
      <c r="B646">
        <f t="shared" si="21"/>
        <v>21</v>
      </c>
      <c r="C646" t="s">
        <v>29</v>
      </c>
      <c r="D646" t="s">
        <v>46</v>
      </c>
      <c r="E646" t="s">
        <v>67</v>
      </c>
      <c r="F646" t="s">
        <v>52</v>
      </c>
      <c r="G646">
        <v>5</v>
      </c>
      <c r="H646">
        <v>865</v>
      </c>
      <c r="I646" t="s">
        <v>112</v>
      </c>
      <c r="J646" t="s">
        <v>15</v>
      </c>
      <c r="K646">
        <v>650</v>
      </c>
      <c r="L646" s="7">
        <f t="shared" si="20"/>
        <v>4325</v>
      </c>
      <c r="M646" s="7">
        <f>dataset!$L646-T646</f>
        <v>1075</v>
      </c>
      <c r="N646" s="7">
        <f>dataset!$M646/dataset!$L646*100</f>
        <v>24.855491329479769</v>
      </c>
      <c r="O646" s="25">
        <f>dataset!$K646*dataset!$G646</f>
        <v>3250</v>
      </c>
      <c r="P646"/>
      <c r="T646">
        <f>dataset!$K646*dataset!$G646</f>
        <v>3250</v>
      </c>
    </row>
    <row r="647" spans="1:20" x14ac:dyDescent="0.35">
      <c r="A647" s="2">
        <v>45802</v>
      </c>
      <c r="B647">
        <f t="shared" si="21"/>
        <v>25</v>
      </c>
      <c r="C647" t="s">
        <v>29</v>
      </c>
      <c r="D647" t="s">
        <v>11</v>
      </c>
      <c r="E647" t="s">
        <v>39</v>
      </c>
      <c r="F647" t="s">
        <v>52</v>
      </c>
      <c r="G647">
        <v>10</v>
      </c>
      <c r="H647">
        <v>2557</v>
      </c>
      <c r="I647" t="s">
        <v>724</v>
      </c>
      <c r="J647" t="s">
        <v>25</v>
      </c>
      <c r="K647">
        <v>2100</v>
      </c>
      <c r="L647" s="7">
        <f t="shared" si="20"/>
        <v>25570</v>
      </c>
      <c r="M647" s="7">
        <f>dataset!$L647-T647</f>
        <v>4570</v>
      </c>
      <c r="N647" s="7">
        <f>dataset!$M647/dataset!$L647*100</f>
        <v>17.872506843957765</v>
      </c>
      <c r="O647" s="25">
        <f>dataset!$K647*dataset!$G647</f>
        <v>21000</v>
      </c>
      <c r="P647"/>
      <c r="T647">
        <f>dataset!$K647*dataset!$G647</f>
        <v>21000</v>
      </c>
    </row>
    <row r="648" spans="1:20" x14ac:dyDescent="0.35">
      <c r="A648" s="2">
        <v>45831</v>
      </c>
      <c r="B648">
        <f t="shared" si="21"/>
        <v>23</v>
      </c>
      <c r="C648" t="s">
        <v>26</v>
      </c>
      <c r="D648" t="s">
        <v>16</v>
      </c>
      <c r="E648" t="s">
        <v>67</v>
      </c>
      <c r="F648" t="s">
        <v>40</v>
      </c>
      <c r="G648">
        <v>33</v>
      </c>
      <c r="H648">
        <v>1881</v>
      </c>
      <c r="I648" t="s">
        <v>725</v>
      </c>
      <c r="J648" t="s">
        <v>25</v>
      </c>
      <c r="K648">
        <v>1050</v>
      </c>
      <c r="L648" s="7">
        <f t="shared" si="20"/>
        <v>62073</v>
      </c>
      <c r="M648" s="7">
        <f>dataset!$L648-T648</f>
        <v>27423</v>
      </c>
      <c r="N648" s="7">
        <f>dataset!$M648/dataset!$L648*100</f>
        <v>44.178628389154703</v>
      </c>
      <c r="O648" s="25">
        <f>dataset!$K648*dataset!$G648</f>
        <v>34650</v>
      </c>
      <c r="P648"/>
      <c r="T648">
        <f>dataset!$K648*dataset!$G648</f>
        <v>34650</v>
      </c>
    </row>
    <row r="649" spans="1:20" x14ac:dyDescent="0.35">
      <c r="A649" s="2">
        <v>45806</v>
      </c>
      <c r="B649">
        <f t="shared" si="21"/>
        <v>29</v>
      </c>
      <c r="C649" t="s">
        <v>20</v>
      </c>
      <c r="D649" t="s">
        <v>33</v>
      </c>
      <c r="E649" t="s">
        <v>54</v>
      </c>
      <c r="F649" t="s">
        <v>18</v>
      </c>
      <c r="G649">
        <v>48</v>
      </c>
      <c r="H649">
        <v>2135</v>
      </c>
      <c r="I649" t="s">
        <v>726</v>
      </c>
      <c r="J649" t="s">
        <v>25</v>
      </c>
      <c r="K649">
        <v>1850</v>
      </c>
      <c r="L649" s="7">
        <f t="shared" si="20"/>
        <v>102480</v>
      </c>
      <c r="M649" s="7">
        <f>dataset!$L649-T649</f>
        <v>13680</v>
      </c>
      <c r="N649" s="7">
        <f>dataset!$M649/dataset!$L649*100</f>
        <v>13.348946135831383</v>
      </c>
      <c r="O649" s="25">
        <f>dataset!$K649*dataset!$G649</f>
        <v>88800</v>
      </c>
      <c r="P649"/>
      <c r="T649">
        <f>dataset!$K649*dataset!$G649</f>
        <v>88800</v>
      </c>
    </row>
    <row r="650" spans="1:20" x14ac:dyDescent="0.35">
      <c r="A650" s="2">
        <v>45811</v>
      </c>
      <c r="B650">
        <f t="shared" si="21"/>
        <v>3</v>
      </c>
      <c r="C650" t="s">
        <v>20</v>
      </c>
      <c r="D650" t="s">
        <v>11</v>
      </c>
      <c r="E650" t="s">
        <v>12</v>
      </c>
      <c r="F650" t="s">
        <v>13</v>
      </c>
      <c r="G650">
        <v>38</v>
      </c>
      <c r="H650">
        <v>2390</v>
      </c>
      <c r="I650" t="s">
        <v>727</v>
      </c>
      <c r="J650" t="s">
        <v>25</v>
      </c>
      <c r="K650">
        <v>1450</v>
      </c>
      <c r="L650" s="7">
        <f t="shared" si="20"/>
        <v>90820</v>
      </c>
      <c r="M650" s="7">
        <f>dataset!$L650-T650</f>
        <v>35720</v>
      </c>
      <c r="N650" s="7">
        <f>dataset!$M650/dataset!$L650*100</f>
        <v>39.330543933054393</v>
      </c>
      <c r="O650" s="25">
        <f>dataset!$K650*dataset!$G650</f>
        <v>55100</v>
      </c>
      <c r="P650"/>
      <c r="T650">
        <f>dataset!$K650*dataset!$G650</f>
        <v>55100</v>
      </c>
    </row>
    <row r="651" spans="1:20" x14ac:dyDescent="0.35">
      <c r="A651" s="2">
        <v>45784</v>
      </c>
      <c r="B651">
        <f t="shared" si="21"/>
        <v>7</v>
      </c>
      <c r="C651" t="s">
        <v>35</v>
      </c>
      <c r="D651" t="s">
        <v>36</v>
      </c>
      <c r="E651" t="s">
        <v>39</v>
      </c>
      <c r="F651" t="s">
        <v>31</v>
      </c>
      <c r="G651">
        <v>11</v>
      </c>
      <c r="H651">
        <v>2575</v>
      </c>
      <c r="I651" t="s">
        <v>728</v>
      </c>
      <c r="J651" t="s">
        <v>15</v>
      </c>
      <c r="K651">
        <v>2100</v>
      </c>
      <c r="L651" s="7">
        <f t="shared" si="20"/>
        <v>28325</v>
      </c>
      <c r="M651" s="7">
        <f>dataset!$L651-T651</f>
        <v>5225</v>
      </c>
      <c r="N651" s="7">
        <f>dataset!$M651/dataset!$L651*100</f>
        <v>18.446601941747574</v>
      </c>
      <c r="O651" s="25">
        <f>dataset!$K651*dataset!$G651</f>
        <v>23100</v>
      </c>
      <c r="P651"/>
      <c r="T651">
        <f>dataset!$K651*dataset!$G651</f>
        <v>23100</v>
      </c>
    </row>
    <row r="652" spans="1:20" x14ac:dyDescent="0.35">
      <c r="A652" s="2">
        <v>45832</v>
      </c>
      <c r="B652">
        <f t="shared" si="21"/>
        <v>24</v>
      </c>
      <c r="C652" t="s">
        <v>20</v>
      </c>
      <c r="D652" t="s">
        <v>33</v>
      </c>
      <c r="E652" t="s">
        <v>75</v>
      </c>
      <c r="F652" t="s">
        <v>31</v>
      </c>
      <c r="G652">
        <v>41</v>
      </c>
      <c r="H652">
        <v>602</v>
      </c>
      <c r="I652" t="s">
        <v>729</v>
      </c>
      <c r="J652" t="s">
        <v>25</v>
      </c>
      <c r="K652">
        <v>500</v>
      </c>
      <c r="L652" s="7">
        <f t="shared" si="20"/>
        <v>24682</v>
      </c>
      <c r="M652" s="7">
        <f>dataset!$L652-T652</f>
        <v>4182</v>
      </c>
      <c r="N652" s="7">
        <f>dataset!$M652/dataset!$L652*100</f>
        <v>16.943521594684384</v>
      </c>
      <c r="O652" s="25">
        <f>dataset!$K652*dataset!$G652</f>
        <v>20500</v>
      </c>
      <c r="P652"/>
      <c r="T652">
        <f>dataset!$K652*dataset!$G652</f>
        <v>20500</v>
      </c>
    </row>
    <row r="653" spans="1:20" x14ac:dyDescent="0.35">
      <c r="A653" s="2">
        <v>45791</v>
      </c>
      <c r="B653">
        <f t="shared" si="21"/>
        <v>14</v>
      </c>
      <c r="C653" t="s">
        <v>10</v>
      </c>
      <c r="D653" t="s">
        <v>46</v>
      </c>
      <c r="E653" t="s">
        <v>12</v>
      </c>
      <c r="F653" t="s">
        <v>52</v>
      </c>
      <c r="G653">
        <v>36</v>
      </c>
      <c r="H653">
        <v>2990</v>
      </c>
      <c r="I653" t="s">
        <v>730</v>
      </c>
      <c r="J653" t="s">
        <v>25</v>
      </c>
      <c r="K653">
        <v>1650</v>
      </c>
      <c r="L653" s="7">
        <f t="shared" si="20"/>
        <v>107640</v>
      </c>
      <c r="M653" s="7">
        <f>dataset!$L653-T653</f>
        <v>48240</v>
      </c>
      <c r="N653" s="7">
        <f>dataset!$M653/dataset!$L653*100</f>
        <v>44.816053511705682</v>
      </c>
      <c r="O653" s="25">
        <f>dataset!$K653*dataset!$G653</f>
        <v>59400</v>
      </c>
      <c r="P653"/>
      <c r="T653">
        <f>dataset!$K653*dataset!$G653</f>
        <v>59400</v>
      </c>
    </row>
    <row r="654" spans="1:20" x14ac:dyDescent="0.35">
      <c r="A654" s="2">
        <v>45816</v>
      </c>
      <c r="B654">
        <f t="shared" si="21"/>
        <v>8</v>
      </c>
      <c r="C654" t="s">
        <v>29</v>
      </c>
      <c r="D654" t="s">
        <v>66</v>
      </c>
      <c r="E654" t="s">
        <v>54</v>
      </c>
      <c r="F654" t="s">
        <v>23</v>
      </c>
      <c r="G654">
        <v>47</v>
      </c>
      <c r="H654">
        <v>1769</v>
      </c>
      <c r="I654" t="s">
        <v>731</v>
      </c>
      <c r="J654" t="s">
        <v>15</v>
      </c>
      <c r="K654">
        <v>1200</v>
      </c>
      <c r="L654" s="7">
        <f t="shared" si="20"/>
        <v>83143</v>
      </c>
      <c r="M654" s="7">
        <f>dataset!$L654-T654</f>
        <v>26743</v>
      </c>
      <c r="N654" s="7">
        <f>dataset!$M654/dataset!$L654*100</f>
        <v>32.165065008479367</v>
      </c>
      <c r="O654" s="25">
        <f>dataset!$K654*dataset!$G654</f>
        <v>56400</v>
      </c>
      <c r="P654"/>
      <c r="T654">
        <f>dataset!$K654*dataset!$G654</f>
        <v>56400</v>
      </c>
    </row>
    <row r="655" spans="1:20" x14ac:dyDescent="0.35">
      <c r="A655" s="2">
        <v>45752</v>
      </c>
      <c r="B655">
        <f t="shared" si="21"/>
        <v>5</v>
      </c>
      <c r="C655" t="s">
        <v>20</v>
      </c>
      <c r="D655" t="s">
        <v>21</v>
      </c>
      <c r="E655" t="s">
        <v>67</v>
      </c>
      <c r="F655" t="s">
        <v>31</v>
      </c>
      <c r="G655">
        <v>33</v>
      </c>
      <c r="H655">
        <v>2513</v>
      </c>
      <c r="I655" t="s">
        <v>732</v>
      </c>
      <c r="J655" t="s">
        <v>25</v>
      </c>
      <c r="K655">
        <v>2150</v>
      </c>
      <c r="L655" s="7">
        <f t="shared" si="20"/>
        <v>82929</v>
      </c>
      <c r="M655" s="7">
        <f>dataset!$L655-T655</f>
        <v>11979</v>
      </c>
      <c r="N655" s="7">
        <f>dataset!$M655/dataset!$L655*100</f>
        <v>14.444886589733386</v>
      </c>
      <c r="O655" s="25">
        <f>dataset!$K655*dataset!$G655</f>
        <v>70950</v>
      </c>
      <c r="P655"/>
      <c r="T655">
        <f>dataset!$K655*dataset!$G655</f>
        <v>70950</v>
      </c>
    </row>
    <row r="656" spans="1:20" x14ac:dyDescent="0.35">
      <c r="A656" s="2">
        <v>45823</v>
      </c>
      <c r="B656">
        <f t="shared" si="21"/>
        <v>15</v>
      </c>
      <c r="C656" t="s">
        <v>35</v>
      </c>
      <c r="D656" t="s">
        <v>27</v>
      </c>
      <c r="E656" t="s">
        <v>30</v>
      </c>
      <c r="F656" t="s">
        <v>37</v>
      </c>
      <c r="G656">
        <v>42</v>
      </c>
      <c r="H656">
        <v>909</v>
      </c>
      <c r="I656" t="s">
        <v>733</v>
      </c>
      <c r="J656" t="s">
        <v>15</v>
      </c>
      <c r="K656">
        <v>800</v>
      </c>
      <c r="L656" s="7">
        <f t="shared" si="20"/>
        <v>38178</v>
      </c>
      <c r="M656" s="7">
        <f>dataset!$L656-T656</f>
        <v>4578</v>
      </c>
      <c r="N656" s="7">
        <f>dataset!$M656/dataset!$L656*100</f>
        <v>11.991199119911991</v>
      </c>
      <c r="O656" s="25">
        <f>dataset!$K656*dataset!$G656</f>
        <v>33600</v>
      </c>
      <c r="P656"/>
      <c r="T656">
        <f>dataset!$K656*dataset!$G656</f>
        <v>33600</v>
      </c>
    </row>
    <row r="657" spans="1:20" x14ac:dyDescent="0.35">
      <c r="A657" s="2">
        <v>45766</v>
      </c>
      <c r="B657">
        <f t="shared" si="21"/>
        <v>19</v>
      </c>
      <c r="C657" t="s">
        <v>20</v>
      </c>
      <c r="D657" t="s">
        <v>11</v>
      </c>
      <c r="E657" t="s">
        <v>22</v>
      </c>
      <c r="F657" t="s">
        <v>23</v>
      </c>
      <c r="G657">
        <v>42</v>
      </c>
      <c r="H657">
        <v>1262</v>
      </c>
      <c r="I657" t="s">
        <v>113</v>
      </c>
      <c r="J657" t="s">
        <v>25</v>
      </c>
      <c r="K657">
        <v>800</v>
      </c>
      <c r="L657" s="7">
        <f t="shared" si="20"/>
        <v>53004</v>
      </c>
      <c r="M657" s="7">
        <f>dataset!$L657-T657</f>
        <v>19404</v>
      </c>
      <c r="N657" s="7">
        <f>dataset!$M657/dataset!$L657*100</f>
        <v>36.608557844690964</v>
      </c>
      <c r="O657" s="25">
        <f>dataset!$K657*dataset!$G657</f>
        <v>33600</v>
      </c>
      <c r="P657"/>
      <c r="T657">
        <f>dataset!$K657*dataset!$G657</f>
        <v>33600</v>
      </c>
    </row>
    <row r="658" spans="1:20" x14ac:dyDescent="0.35">
      <c r="A658" s="2">
        <v>45833</v>
      </c>
      <c r="B658">
        <f t="shared" si="21"/>
        <v>25</v>
      </c>
      <c r="C658" t="s">
        <v>26</v>
      </c>
      <c r="D658" t="s">
        <v>11</v>
      </c>
      <c r="E658" t="s">
        <v>12</v>
      </c>
      <c r="F658" t="s">
        <v>52</v>
      </c>
      <c r="G658">
        <v>39</v>
      </c>
      <c r="H658">
        <v>729</v>
      </c>
      <c r="I658" t="s">
        <v>734</v>
      </c>
      <c r="J658" t="s">
        <v>25</v>
      </c>
      <c r="K658">
        <v>400</v>
      </c>
      <c r="L658" s="7">
        <f t="shared" si="20"/>
        <v>28431</v>
      </c>
      <c r="M658" s="7">
        <f>dataset!$L658-T658</f>
        <v>12831</v>
      </c>
      <c r="N658" s="7">
        <f>dataset!$M658/dataset!$L658*100</f>
        <v>45.130315500685867</v>
      </c>
      <c r="O658" s="25">
        <f>dataset!$K658*dataset!$G658</f>
        <v>15600</v>
      </c>
      <c r="P658"/>
      <c r="T658">
        <f>dataset!$K658*dataset!$G658</f>
        <v>15600</v>
      </c>
    </row>
    <row r="659" spans="1:20" x14ac:dyDescent="0.35">
      <c r="A659" s="2">
        <v>45827</v>
      </c>
      <c r="B659">
        <f t="shared" si="21"/>
        <v>19</v>
      </c>
      <c r="C659" t="s">
        <v>10</v>
      </c>
      <c r="D659" t="s">
        <v>21</v>
      </c>
      <c r="E659" t="s">
        <v>75</v>
      </c>
      <c r="F659" t="s">
        <v>18</v>
      </c>
      <c r="G659">
        <v>8</v>
      </c>
      <c r="H659">
        <v>660</v>
      </c>
      <c r="I659" t="s">
        <v>735</v>
      </c>
      <c r="J659" t="s">
        <v>15</v>
      </c>
      <c r="K659">
        <v>500</v>
      </c>
      <c r="L659" s="7">
        <f t="shared" si="20"/>
        <v>5280</v>
      </c>
      <c r="M659" s="7">
        <f>dataset!$L659-T659</f>
        <v>1280</v>
      </c>
      <c r="N659" s="7">
        <f>dataset!$M659/dataset!$L659*100</f>
        <v>24.242424242424242</v>
      </c>
      <c r="O659" s="25">
        <f>dataset!$K659*dataset!$G659</f>
        <v>4000</v>
      </c>
      <c r="P659"/>
      <c r="T659">
        <f>dataset!$K659*dataset!$G659</f>
        <v>4000</v>
      </c>
    </row>
    <row r="660" spans="1:20" x14ac:dyDescent="0.35">
      <c r="A660" s="2">
        <v>45748</v>
      </c>
      <c r="B660">
        <f t="shared" si="21"/>
        <v>1</v>
      </c>
      <c r="C660" t="s">
        <v>35</v>
      </c>
      <c r="D660" t="s">
        <v>27</v>
      </c>
      <c r="E660" t="s">
        <v>42</v>
      </c>
      <c r="F660" t="s">
        <v>18</v>
      </c>
      <c r="G660">
        <v>11</v>
      </c>
      <c r="H660">
        <v>986</v>
      </c>
      <c r="I660" t="s">
        <v>736</v>
      </c>
      <c r="J660" t="s">
        <v>25</v>
      </c>
      <c r="K660">
        <v>850</v>
      </c>
      <c r="L660" s="7">
        <f t="shared" si="20"/>
        <v>10846</v>
      </c>
      <c r="M660" s="7">
        <f>dataset!$L660-T660</f>
        <v>1496</v>
      </c>
      <c r="N660" s="7">
        <f>dataset!$M660/dataset!$L660*100</f>
        <v>13.793103448275861</v>
      </c>
      <c r="O660" s="25">
        <f>dataset!$K660*dataset!$G660</f>
        <v>9350</v>
      </c>
      <c r="P660"/>
      <c r="T660">
        <f>dataset!$K660*dataset!$G660</f>
        <v>9350</v>
      </c>
    </row>
    <row r="661" spans="1:20" x14ac:dyDescent="0.35">
      <c r="A661" s="2">
        <v>45838</v>
      </c>
      <c r="B661">
        <f t="shared" si="21"/>
        <v>30</v>
      </c>
      <c r="C661" t="s">
        <v>35</v>
      </c>
      <c r="D661" t="s">
        <v>46</v>
      </c>
      <c r="E661" t="s">
        <v>54</v>
      </c>
      <c r="F661" t="s">
        <v>37</v>
      </c>
      <c r="G661">
        <v>42</v>
      </c>
      <c r="H661">
        <v>2438</v>
      </c>
      <c r="I661" t="s">
        <v>737</v>
      </c>
      <c r="J661" t="s">
        <v>25</v>
      </c>
      <c r="K661">
        <v>1850</v>
      </c>
      <c r="L661" s="7">
        <f t="shared" si="20"/>
        <v>102396</v>
      </c>
      <c r="M661" s="7">
        <f>dataset!$L661-T661</f>
        <v>24696</v>
      </c>
      <c r="N661" s="7">
        <f>dataset!$M661/dataset!$L661*100</f>
        <v>24.118129614438065</v>
      </c>
      <c r="O661" s="25">
        <f>dataset!$K661*dataset!$G661</f>
        <v>77700</v>
      </c>
      <c r="P661"/>
      <c r="T661">
        <f>dataset!$K661*dataset!$G661</f>
        <v>77700</v>
      </c>
    </row>
    <row r="662" spans="1:20" x14ac:dyDescent="0.35">
      <c r="A662" s="2">
        <v>45822</v>
      </c>
      <c r="B662">
        <f t="shared" si="21"/>
        <v>14</v>
      </c>
      <c r="C662" t="s">
        <v>26</v>
      </c>
      <c r="D662" t="s">
        <v>21</v>
      </c>
      <c r="E662" t="s">
        <v>12</v>
      </c>
      <c r="F662" t="s">
        <v>40</v>
      </c>
      <c r="G662">
        <v>8</v>
      </c>
      <c r="H662">
        <v>1041</v>
      </c>
      <c r="I662" t="s">
        <v>738</v>
      </c>
      <c r="J662" t="s">
        <v>25</v>
      </c>
      <c r="K662">
        <v>800</v>
      </c>
      <c r="L662" s="7">
        <f t="shared" si="20"/>
        <v>8328</v>
      </c>
      <c r="M662" s="7">
        <f>dataset!$L662-T662</f>
        <v>1928</v>
      </c>
      <c r="N662" s="7">
        <f>dataset!$M662/dataset!$L662*100</f>
        <v>23.150816522574445</v>
      </c>
      <c r="O662" s="25">
        <f>dataset!$K662*dataset!$G662</f>
        <v>6400</v>
      </c>
      <c r="P662"/>
      <c r="T662">
        <f>dataset!$K662*dataset!$G662</f>
        <v>6400</v>
      </c>
    </row>
    <row r="663" spans="1:20" x14ac:dyDescent="0.35">
      <c r="A663" s="2">
        <v>45778</v>
      </c>
      <c r="B663">
        <f t="shared" si="21"/>
        <v>1</v>
      </c>
      <c r="C663" t="s">
        <v>10</v>
      </c>
      <c r="D663" t="s">
        <v>36</v>
      </c>
      <c r="E663" t="s">
        <v>17</v>
      </c>
      <c r="F663" t="s">
        <v>40</v>
      </c>
      <c r="G663">
        <v>27</v>
      </c>
      <c r="H663">
        <v>1417</v>
      </c>
      <c r="I663" t="s">
        <v>739</v>
      </c>
      <c r="J663" t="s">
        <v>25</v>
      </c>
      <c r="K663">
        <v>1150</v>
      </c>
      <c r="L663" s="7">
        <f t="shared" si="20"/>
        <v>38259</v>
      </c>
      <c r="M663" s="7">
        <f>dataset!$L663-T663</f>
        <v>7209</v>
      </c>
      <c r="N663" s="7">
        <f>dataset!$M663/dataset!$L663*100</f>
        <v>18.842625264643615</v>
      </c>
      <c r="O663" s="25">
        <f>dataset!$K663*dataset!$G663</f>
        <v>31050</v>
      </c>
      <c r="P663"/>
      <c r="T663">
        <f>dataset!$K663*dataset!$G663</f>
        <v>31050</v>
      </c>
    </row>
    <row r="664" spans="1:20" x14ac:dyDescent="0.35">
      <c r="A664" s="2">
        <v>45757</v>
      </c>
      <c r="B664">
        <f t="shared" si="21"/>
        <v>10</v>
      </c>
      <c r="C664" t="s">
        <v>10</v>
      </c>
      <c r="D664" t="s">
        <v>36</v>
      </c>
      <c r="E664" t="s">
        <v>17</v>
      </c>
      <c r="F664" t="s">
        <v>56</v>
      </c>
      <c r="G664">
        <v>33</v>
      </c>
      <c r="H664">
        <v>363</v>
      </c>
      <c r="I664" t="s">
        <v>740</v>
      </c>
      <c r="J664" t="s">
        <v>25</v>
      </c>
      <c r="K664">
        <v>300</v>
      </c>
      <c r="L664" s="7">
        <f t="shared" si="20"/>
        <v>11979</v>
      </c>
      <c r="M664" s="7">
        <f>dataset!$L664-T664</f>
        <v>2079</v>
      </c>
      <c r="N664" s="7">
        <f>dataset!$M664/dataset!$L664*100</f>
        <v>17.355371900826448</v>
      </c>
      <c r="O664" s="25">
        <f>dataset!$K664*dataset!$G664</f>
        <v>9900</v>
      </c>
      <c r="P664"/>
      <c r="T664">
        <f>dataset!$K664*dataset!$G664</f>
        <v>9900</v>
      </c>
    </row>
    <row r="665" spans="1:20" x14ac:dyDescent="0.35">
      <c r="A665" s="2">
        <v>45802</v>
      </c>
      <c r="B665">
        <f t="shared" si="21"/>
        <v>25</v>
      </c>
      <c r="C665" t="s">
        <v>35</v>
      </c>
      <c r="D665" t="s">
        <v>33</v>
      </c>
      <c r="E665" t="s">
        <v>64</v>
      </c>
      <c r="F665" t="s">
        <v>23</v>
      </c>
      <c r="G665">
        <v>16</v>
      </c>
      <c r="H665">
        <v>2120</v>
      </c>
      <c r="I665" t="s">
        <v>741</v>
      </c>
      <c r="J665" t="s">
        <v>15</v>
      </c>
      <c r="K665">
        <v>1050</v>
      </c>
      <c r="L665" s="7">
        <f t="shared" si="20"/>
        <v>33920</v>
      </c>
      <c r="M665" s="7">
        <f>dataset!$L665-T665</f>
        <v>17120</v>
      </c>
      <c r="N665" s="7">
        <f>dataset!$M665/dataset!$L665*100</f>
        <v>50.471698113207552</v>
      </c>
      <c r="O665" s="25">
        <f>dataset!$K665*dataset!$G665</f>
        <v>16800</v>
      </c>
      <c r="P665"/>
      <c r="T665">
        <f>dataset!$K665*dataset!$G665</f>
        <v>16800</v>
      </c>
    </row>
    <row r="666" spans="1:20" x14ac:dyDescent="0.35">
      <c r="A666" s="2">
        <v>45828</v>
      </c>
      <c r="B666">
        <f t="shared" si="21"/>
        <v>20</v>
      </c>
      <c r="C666" t="s">
        <v>29</v>
      </c>
      <c r="D666" t="s">
        <v>66</v>
      </c>
      <c r="E666" t="s">
        <v>42</v>
      </c>
      <c r="F666" t="s">
        <v>37</v>
      </c>
      <c r="G666">
        <v>10</v>
      </c>
      <c r="H666">
        <v>1388</v>
      </c>
      <c r="I666" t="s">
        <v>742</v>
      </c>
      <c r="J666" t="s">
        <v>25</v>
      </c>
      <c r="K666">
        <v>950</v>
      </c>
      <c r="L666" s="7">
        <f t="shared" si="20"/>
        <v>13880</v>
      </c>
      <c r="M666" s="7">
        <f>dataset!$L666-T666</f>
        <v>4380</v>
      </c>
      <c r="N666" s="7">
        <f>dataset!$M666/dataset!$L666*100</f>
        <v>31.556195965417867</v>
      </c>
      <c r="O666" s="25">
        <f>dataset!$K666*dataset!$G666</f>
        <v>9500</v>
      </c>
      <c r="P666"/>
      <c r="T666">
        <f>dataset!$K666*dataset!$G666</f>
        <v>9500</v>
      </c>
    </row>
    <row r="667" spans="1:20" x14ac:dyDescent="0.35">
      <c r="A667" s="2">
        <v>45789</v>
      </c>
      <c r="B667">
        <f t="shared" si="21"/>
        <v>12</v>
      </c>
      <c r="C667" t="s">
        <v>35</v>
      </c>
      <c r="D667" t="s">
        <v>21</v>
      </c>
      <c r="E667" t="s">
        <v>67</v>
      </c>
      <c r="F667" t="s">
        <v>23</v>
      </c>
      <c r="G667">
        <v>22</v>
      </c>
      <c r="H667">
        <v>867</v>
      </c>
      <c r="I667" t="s">
        <v>743</v>
      </c>
      <c r="J667" t="s">
        <v>15</v>
      </c>
      <c r="K667">
        <v>750</v>
      </c>
      <c r="L667" s="7">
        <f t="shared" si="20"/>
        <v>19074</v>
      </c>
      <c r="M667" s="7">
        <f>dataset!$L667-T667</f>
        <v>2574</v>
      </c>
      <c r="N667" s="7">
        <f>dataset!$M667/dataset!$L667*100</f>
        <v>13.494809688581316</v>
      </c>
      <c r="O667" s="25">
        <f>dataset!$K667*dataset!$G667</f>
        <v>16500</v>
      </c>
      <c r="P667"/>
      <c r="T667">
        <f>dataset!$K667*dataset!$G667</f>
        <v>16500</v>
      </c>
    </row>
    <row r="668" spans="1:20" x14ac:dyDescent="0.35">
      <c r="A668" s="2">
        <v>45749</v>
      </c>
      <c r="B668">
        <f t="shared" si="21"/>
        <v>2</v>
      </c>
      <c r="C668" t="s">
        <v>35</v>
      </c>
      <c r="D668" t="s">
        <v>36</v>
      </c>
      <c r="E668" t="s">
        <v>17</v>
      </c>
      <c r="F668" t="s">
        <v>37</v>
      </c>
      <c r="G668">
        <v>25</v>
      </c>
      <c r="H668">
        <v>1367</v>
      </c>
      <c r="I668" t="s">
        <v>38</v>
      </c>
      <c r="J668" t="s">
        <v>15</v>
      </c>
      <c r="K668">
        <v>750</v>
      </c>
      <c r="L668" s="7">
        <f t="shared" si="20"/>
        <v>34175</v>
      </c>
      <c r="M668" s="7">
        <f>dataset!$L668-T668</f>
        <v>15425</v>
      </c>
      <c r="N668" s="7">
        <f>dataset!$M668/dataset!$L668*100</f>
        <v>45.135332845647405</v>
      </c>
      <c r="O668" s="25">
        <f>dataset!$K668*dataset!$G668</f>
        <v>18750</v>
      </c>
      <c r="P668"/>
      <c r="T668">
        <f>dataset!$K668*dataset!$G668</f>
        <v>18750</v>
      </c>
    </row>
    <row r="669" spans="1:20" x14ac:dyDescent="0.35">
      <c r="A669" s="2">
        <v>45766</v>
      </c>
      <c r="B669">
        <f t="shared" si="21"/>
        <v>19</v>
      </c>
      <c r="C669" t="s">
        <v>20</v>
      </c>
      <c r="D669" t="s">
        <v>21</v>
      </c>
      <c r="E669" t="s">
        <v>67</v>
      </c>
      <c r="F669" t="s">
        <v>23</v>
      </c>
      <c r="G669">
        <v>49</v>
      </c>
      <c r="H669">
        <v>1430</v>
      </c>
      <c r="I669" t="s">
        <v>114</v>
      </c>
      <c r="J669" t="s">
        <v>15</v>
      </c>
      <c r="K669">
        <v>900</v>
      </c>
      <c r="L669" s="7">
        <f t="shared" si="20"/>
        <v>70070</v>
      </c>
      <c r="M669" s="7">
        <f>dataset!$L669-T669</f>
        <v>25970</v>
      </c>
      <c r="N669" s="7">
        <f>dataset!$M669/dataset!$L669*100</f>
        <v>37.06293706293706</v>
      </c>
      <c r="O669" s="25">
        <f>dataset!$K669*dataset!$G669</f>
        <v>44100</v>
      </c>
      <c r="P669"/>
      <c r="T669">
        <f>dataset!$K669*dataset!$G669</f>
        <v>44100</v>
      </c>
    </row>
    <row r="670" spans="1:20" x14ac:dyDescent="0.35">
      <c r="A670" s="2">
        <v>45832</v>
      </c>
      <c r="B670">
        <f t="shared" si="21"/>
        <v>24</v>
      </c>
      <c r="C670" t="s">
        <v>20</v>
      </c>
      <c r="D670" t="s">
        <v>16</v>
      </c>
      <c r="E670" t="s">
        <v>30</v>
      </c>
      <c r="F670" t="s">
        <v>37</v>
      </c>
      <c r="G670">
        <v>29</v>
      </c>
      <c r="H670">
        <v>1878</v>
      </c>
      <c r="I670" t="s">
        <v>744</v>
      </c>
      <c r="J670" t="s">
        <v>25</v>
      </c>
      <c r="K670">
        <v>1000</v>
      </c>
      <c r="L670" s="7">
        <f t="shared" si="20"/>
        <v>54462</v>
      </c>
      <c r="M670" s="7">
        <f>dataset!$L670-T670</f>
        <v>25462</v>
      </c>
      <c r="N670" s="7">
        <f>dataset!$M670/dataset!$L670*100</f>
        <v>46.751863684771031</v>
      </c>
      <c r="O670" s="25">
        <f>dataset!$K670*dataset!$G670</f>
        <v>29000</v>
      </c>
      <c r="P670"/>
      <c r="T670">
        <f>dataset!$K670*dataset!$G670</f>
        <v>29000</v>
      </c>
    </row>
    <row r="671" spans="1:20" x14ac:dyDescent="0.35">
      <c r="A671" s="2">
        <v>45806</v>
      </c>
      <c r="B671">
        <f t="shared" si="21"/>
        <v>29</v>
      </c>
      <c r="C671" t="s">
        <v>35</v>
      </c>
      <c r="D671" t="s">
        <v>36</v>
      </c>
      <c r="E671" t="s">
        <v>54</v>
      </c>
      <c r="F671" t="s">
        <v>23</v>
      </c>
      <c r="G671">
        <v>34</v>
      </c>
      <c r="H671">
        <v>1714</v>
      </c>
      <c r="I671" t="s">
        <v>745</v>
      </c>
      <c r="J671" t="s">
        <v>25</v>
      </c>
      <c r="K671">
        <v>1000</v>
      </c>
      <c r="L671" s="7">
        <f t="shared" si="20"/>
        <v>58276</v>
      </c>
      <c r="M671" s="7">
        <f>dataset!$L671-T671</f>
        <v>24276</v>
      </c>
      <c r="N671" s="7">
        <f>dataset!$M671/dataset!$L671*100</f>
        <v>41.656942823803966</v>
      </c>
      <c r="O671" s="25">
        <f>dataset!$K671*dataset!$G671</f>
        <v>34000</v>
      </c>
      <c r="P671"/>
      <c r="T671">
        <f>dataset!$K671*dataset!$G671</f>
        <v>34000</v>
      </c>
    </row>
    <row r="672" spans="1:20" x14ac:dyDescent="0.35">
      <c r="A672" s="2">
        <v>45816</v>
      </c>
      <c r="B672">
        <f t="shared" si="21"/>
        <v>8</v>
      </c>
      <c r="C672" t="s">
        <v>29</v>
      </c>
      <c r="D672" t="s">
        <v>27</v>
      </c>
      <c r="E672" t="s">
        <v>54</v>
      </c>
      <c r="F672" t="s">
        <v>18</v>
      </c>
      <c r="G672">
        <v>16</v>
      </c>
      <c r="H672">
        <v>1698</v>
      </c>
      <c r="I672" t="s">
        <v>746</v>
      </c>
      <c r="J672" t="s">
        <v>15</v>
      </c>
      <c r="K672">
        <v>1500</v>
      </c>
      <c r="L672" s="7">
        <f t="shared" si="20"/>
        <v>27168</v>
      </c>
      <c r="M672" s="7">
        <f>dataset!$L672-T672</f>
        <v>3168</v>
      </c>
      <c r="N672" s="7">
        <f>dataset!$M672/dataset!$L672*100</f>
        <v>11.66077738515901</v>
      </c>
      <c r="O672" s="25">
        <f>dataset!$K672*dataset!$G672</f>
        <v>24000</v>
      </c>
      <c r="P672"/>
      <c r="T672">
        <f>dataset!$K672*dataset!$G672</f>
        <v>24000</v>
      </c>
    </row>
    <row r="673" spans="1:20" x14ac:dyDescent="0.35">
      <c r="A673" s="2">
        <v>45780</v>
      </c>
      <c r="B673">
        <f t="shared" si="21"/>
        <v>3</v>
      </c>
      <c r="C673" t="s">
        <v>20</v>
      </c>
      <c r="D673" t="s">
        <v>66</v>
      </c>
      <c r="E673" t="s">
        <v>17</v>
      </c>
      <c r="F673" t="s">
        <v>56</v>
      </c>
      <c r="G673">
        <v>6</v>
      </c>
      <c r="H673">
        <v>1769</v>
      </c>
      <c r="I673" t="s">
        <v>747</v>
      </c>
      <c r="J673" t="s">
        <v>25</v>
      </c>
      <c r="K673">
        <v>950</v>
      </c>
      <c r="L673" s="7">
        <f t="shared" si="20"/>
        <v>10614</v>
      </c>
      <c r="M673" s="7">
        <f>dataset!$L673-T673</f>
        <v>4914</v>
      </c>
      <c r="N673" s="7">
        <f>dataset!$M673/dataset!$L673*100</f>
        <v>46.297343131712829</v>
      </c>
      <c r="O673" s="25">
        <f>dataset!$K673*dataset!$G673</f>
        <v>5700</v>
      </c>
      <c r="P673"/>
      <c r="T673">
        <f>dataset!$K673*dataset!$G673</f>
        <v>5700</v>
      </c>
    </row>
    <row r="674" spans="1:20" x14ac:dyDescent="0.35">
      <c r="A674" s="2">
        <v>45830</v>
      </c>
      <c r="B674">
        <f t="shared" si="21"/>
        <v>22</v>
      </c>
      <c r="C674" t="s">
        <v>29</v>
      </c>
      <c r="D674" t="s">
        <v>27</v>
      </c>
      <c r="E674" t="s">
        <v>17</v>
      </c>
      <c r="F674" t="s">
        <v>18</v>
      </c>
      <c r="G674">
        <v>47</v>
      </c>
      <c r="H674">
        <v>834</v>
      </c>
      <c r="I674" t="s">
        <v>748</v>
      </c>
      <c r="J674" t="s">
        <v>15</v>
      </c>
      <c r="K674">
        <v>650</v>
      </c>
      <c r="L674" s="7">
        <f t="shared" si="20"/>
        <v>39198</v>
      </c>
      <c r="M674" s="7">
        <f>dataset!$L674-T674</f>
        <v>8648</v>
      </c>
      <c r="N674" s="7">
        <f>dataset!$M674/dataset!$L674*100</f>
        <v>22.062350119904075</v>
      </c>
      <c r="O674" s="25">
        <f>dataset!$K674*dataset!$G674</f>
        <v>30550</v>
      </c>
      <c r="P674"/>
      <c r="T674">
        <f>dataset!$K674*dataset!$G674</f>
        <v>30550</v>
      </c>
    </row>
    <row r="675" spans="1:20" x14ac:dyDescent="0.35">
      <c r="A675" s="2">
        <v>45792</v>
      </c>
      <c r="B675">
        <f t="shared" si="21"/>
        <v>15</v>
      </c>
      <c r="C675" t="s">
        <v>10</v>
      </c>
      <c r="D675" t="s">
        <v>21</v>
      </c>
      <c r="E675" t="s">
        <v>67</v>
      </c>
      <c r="F675" t="s">
        <v>52</v>
      </c>
      <c r="G675">
        <v>27</v>
      </c>
      <c r="H675">
        <v>1467</v>
      </c>
      <c r="I675" t="s">
        <v>749</v>
      </c>
      <c r="J675" t="s">
        <v>25</v>
      </c>
      <c r="K675">
        <v>1200</v>
      </c>
      <c r="L675" s="7">
        <f t="shared" si="20"/>
        <v>39609</v>
      </c>
      <c r="M675" s="7">
        <f>dataset!$L675-T675</f>
        <v>7209</v>
      </c>
      <c r="N675" s="7">
        <f>dataset!$M675/dataset!$L675*100</f>
        <v>18.200408997955012</v>
      </c>
      <c r="O675" s="25">
        <f>dataset!$K675*dataset!$G675</f>
        <v>32400</v>
      </c>
      <c r="P675"/>
      <c r="T675">
        <f>dataset!$K675*dataset!$G675</f>
        <v>32400</v>
      </c>
    </row>
    <row r="676" spans="1:20" x14ac:dyDescent="0.35">
      <c r="A676" s="2">
        <v>45812</v>
      </c>
      <c r="B676">
        <f t="shared" si="21"/>
        <v>4</v>
      </c>
      <c r="C676" t="s">
        <v>35</v>
      </c>
      <c r="D676" t="s">
        <v>27</v>
      </c>
      <c r="E676" t="s">
        <v>54</v>
      </c>
      <c r="F676" t="s">
        <v>23</v>
      </c>
      <c r="G676">
        <v>9</v>
      </c>
      <c r="H676">
        <v>1223</v>
      </c>
      <c r="I676" t="s">
        <v>750</v>
      </c>
      <c r="J676" t="s">
        <v>15</v>
      </c>
      <c r="K676">
        <v>850</v>
      </c>
      <c r="L676" s="7">
        <f t="shared" si="20"/>
        <v>11007</v>
      </c>
      <c r="M676" s="7">
        <f>dataset!$L676-T676</f>
        <v>3357</v>
      </c>
      <c r="N676" s="7">
        <f>dataset!$M676/dataset!$L676*100</f>
        <v>30.498773507767783</v>
      </c>
      <c r="O676" s="25">
        <f>dataset!$K676*dataset!$G676</f>
        <v>7650</v>
      </c>
      <c r="P676"/>
      <c r="T676">
        <f>dataset!$K676*dataset!$G676</f>
        <v>7650</v>
      </c>
    </row>
    <row r="677" spans="1:20" x14ac:dyDescent="0.35">
      <c r="A677" s="2">
        <v>45786</v>
      </c>
      <c r="B677">
        <f t="shared" si="21"/>
        <v>9</v>
      </c>
      <c r="C677" t="s">
        <v>26</v>
      </c>
      <c r="D677" t="s">
        <v>66</v>
      </c>
      <c r="E677" t="s">
        <v>22</v>
      </c>
      <c r="F677" t="s">
        <v>18</v>
      </c>
      <c r="G677">
        <v>7</v>
      </c>
      <c r="H677">
        <v>1491</v>
      </c>
      <c r="I677" t="s">
        <v>751</v>
      </c>
      <c r="J677" t="s">
        <v>25</v>
      </c>
      <c r="K677">
        <v>1300</v>
      </c>
      <c r="L677" s="7">
        <f t="shared" si="20"/>
        <v>10437</v>
      </c>
      <c r="M677" s="7">
        <f>dataset!$L677-T677</f>
        <v>1337</v>
      </c>
      <c r="N677" s="7">
        <f>dataset!$M677/dataset!$L677*100</f>
        <v>12.810194500335346</v>
      </c>
      <c r="O677" s="25">
        <f>dataset!$K677*dataset!$G677</f>
        <v>9100</v>
      </c>
      <c r="P677"/>
      <c r="T677">
        <f>dataset!$K677*dataset!$G677</f>
        <v>9100</v>
      </c>
    </row>
    <row r="678" spans="1:20" x14ac:dyDescent="0.35">
      <c r="A678" s="2">
        <v>45761</v>
      </c>
      <c r="B678">
        <f t="shared" si="21"/>
        <v>14</v>
      </c>
      <c r="C678" t="s">
        <v>35</v>
      </c>
      <c r="D678" t="s">
        <v>16</v>
      </c>
      <c r="E678" t="s">
        <v>17</v>
      </c>
      <c r="F678" t="s">
        <v>23</v>
      </c>
      <c r="G678">
        <v>44</v>
      </c>
      <c r="H678">
        <v>845</v>
      </c>
      <c r="I678" t="s">
        <v>752</v>
      </c>
      <c r="J678" t="s">
        <v>15</v>
      </c>
      <c r="K678">
        <v>700</v>
      </c>
      <c r="L678" s="7">
        <f t="shared" si="20"/>
        <v>37180</v>
      </c>
      <c r="M678" s="7">
        <f>dataset!$L678-T678</f>
        <v>6380</v>
      </c>
      <c r="N678" s="7">
        <f>dataset!$M678/dataset!$L678*100</f>
        <v>17.159763313609467</v>
      </c>
      <c r="O678" s="25">
        <f>dataset!$K678*dataset!$G678</f>
        <v>30800</v>
      </c>
      <c r="P678"/>
      <c r="T678">
        <f>dataset!$K678*dataset!$G678</f>
        <v>30800</v>
      </c>
    </row>
    <row r="679" spans="1:20" x14ac:dyDescent="0.35">
      <c r="A679" s="2">
        <v>45754</v>
      </c>
      <c r="B679">
        <f t="shared" si="21"/>
        <v>7</v>
      </c>
      <c r="C679" t="s">
        <v>26</v>
      </c>
      <c r="D679" t="s">
        <v>21</v>
      </c>
      <c r="E679" t="s">
        <v>17</v>
      </c>
      <c r="F679" t="s">
        <v>52</v>
      </c>
      <c r="G679">
        <v>43</v>
      </c>
      <c r="H679">
        <v>1883</v>
      </c>
      <c r="I679" t="s">
        <v>753</v>
      </c>
      <c r="J679" t="s">
        <v>25</v>
      </c>
      <c r="K679">
        <v>1300</v>
      </c>
      <c r="L679" s="7">
        <f t="shared" si="20"/>
        <v>80969</v>
      </c>
      <c r="M679" s="7">
        <f>dataset!$L679-T679</f>
        <v>25069</v>
      </c>
      <c r="N679" s="7">
        <f>dataset!$M679/dataset!$L679*100</f>
        <v>30.96123207647371</v>
      </c>
      <c r="O679" s="25">
        <f>dataset!$K679*dataset!$G679</f>
        <v>55900</v>
      </c>
      <c r="P679"/>
      <c r="T679">
        <f>dataset!$K679*dataset!$G679</f>
        <v>55900</v>
      </c>
    </row>
    <row r="680" spans="1:20" x14ac:dyDescent="0.35">
      <c r="A680" s="2">
        <v>45767</v>
      </c>
      <c r="B680">
        <f t="shared" si="21"/>
        <v>20</v>
      </c>
      <c r="C680" t="s">
        <v>10</v>
      </c>
      <c r="D680" t="s">
        <v>27</v>
      </c>
      <c r="E680" t="s">
        <v>67</v>
      </c>
      <c r="F680" t="s">
        <v>13</v>
      </c>
      <c r="G680">
        <v>16</v>
      </c>
      <c r="H680">
        <v>1379</v>
      </c>
      <c r="I680" t="s">
        <v>115</v>
      </c>
      <c r="J680" t="s">
        <v>15</v>
      </c>
      <c r="K680">
        <v>700</v>
      </c>
      <c r="L680" s="7">
        <f t="shared" si="20"/>
        <v>22064</v>
      </c>
      <c r="M680" s="7">
        <f>dataset!$L680-T680</f>
        <v>10864</v>
      </c>
      <c r="N680" s="7">
        <f>dataset!$M680/dataset!$L680*100</f>
        <v>49.238578680203041</v>
      </c>
      <c r="O680" s="25">
        <f>dataset!$K680*dataset!$G680</f>
        <v>11200</v>
      </c>
      <c r="P680"/>
      <c r="T680">
        <f>dataset!$K680*dataset!$G680</f>
        <v>11200</v>
      </c>
    </row>
    <row r="681" spans="1:20" x14ac:dyDescent="0.35">
      <c r="A681" s="2">
        <v>45809</v>
      </c>
      <c r="B681">
        <f t="shared" si="21"/>
        <v>1</v>
      </c>
      <c r="C681" t="s">
        <v>26</v>
      </c>
      <c r="D681" t="s">
        <v>21</v>
      </c>
      <c r="E681" t="s">
        <v>42</v>
      </c>
      <c r="F681" t="s">
        <v>18</v>
      </c>
      <c r="G681">
        <v>44</v>
      </c>
      <c r="H681">
        <v>2861</v>
      </c>
      <c r="I681" t="s">
        <v>754</v>
      </c>
      <c r="J681" t="s">
        <v>15</v>
      </c>
      <c r="K681">
        <v>2450</v>
      </c>
      <c r="L681" s="7">
        <f t="shared" si="20"/>
        <v>125884</v>
      </c>
      <c r="M681" s="7">
        <f>dataset!$L681-T681</f>
        <v>18084</v>
      </c>
      <c r="N681" s="7">
        <f>dataset!$M681/dataset!$L681*100</f>
        <v>14.365606431317721</v>
      </c>
      <c r="O681" s="25">
        <f>dataset!$K681*dataset!$G681</f>
        <v>107800</v>
      </c>
      <c r="P681"/>
      <c r="T681">
        <f>dataset!$K681*dataset!$G681</f>
        <v>107800</v>
      </c>
    </row>
    <row r="682" spans="1:20" x14ac:dyDescent="0.35">
      <c r="A682" s="2">
        <v>45766</v>
      </c>
      <c r="B682">
        <f t="shared" si="21"/>
        <v>19</v>
      </c>
      <c r="C682" t="s">
        <v>20</v>
      </c>
      <c r="D682" t="s">
        <v>16</v>
      </c>
      <c r="E682" t="s">
        <v>30</v>
      </c>
      <c r="F682" t="s">
        <v>23</v>
      </c>
      <c r="G682">
        <v>34</v>
      </c>
      <c r="H682">
        <v>716</v>
      </c>
      <c r="I682" t="s">
        <v>755</v>
      </c>
      <c r="J682" t="s">
        <v>25</v>
      </c>
      <c r="K682">
        <v>500</v>
      </c>
      <c r="L682" s="7">
        <f t="shared" si="20"/>
        <v>24344</v>
      </c>
      <c r="M682" s="7">
        <f>dataset!$L682-T682</f>
        <v>7344</v>
      </c>
      <c r="N682" s="7">
        <f>dataset!$M682/dataset!$L682*100</f>
        <v>30.16759776536313</v>
      </c>
      <c r="O682" s="25">
        <f>dataset!$K682*dataset!$G682</f>
        <v>17000</v>
      </c>
      <c r="P682"/>
      <c r="T682">
        <f>dataset!$K682*dataset!$G682</f>
        <v>17000</v>
      </c>
    </row>
    <row r="683" spans="1:20" x14ac:dyDescent="0.35">
      <c r="A683" s="2">
        <v>45759</v>
      </c>
      <c r="B683">
        <f t="shared" si="21"/>
        <v>12</v>
      </c>
      <c r="C683" t="s">
        <v>20</v>
      </c>
      <c r="D683" t="s">
        <v>46</v>
      </c>
      <c r="E683" t="s">
        <v>42</v>
      </c>
      <c r="F683" t="s">
        <v>37</v>
      </c>
      <c r="G683">
        <v>26</v>
      </c>
      <c r="H683">
        <v>888</v>
      </c>
      <c r="I683" t="s">
        <v>756</v>
      </c>
      <c r="J683" t="s">
        <v>25</v>
      </c>
      <c r="K683">
        <v>700</v>
      </c>
      <c r="L683" s="7">
        <f t="shared" si="20"/>
        <v>23088</v>
      </c>
      <c r="M683" s="7">
        <f>dataset!$L683-T683</f>
        <v>4888</v>
      </c>
      <c r="N683" s="7">
        <f>dataset!$M683/dataset!$L683*100</f>
        <v>21.171171171171171</v>
      </c>
      <c r="O683" s="25">
        <f>dataset!$K683*dataset!$G683</f>
        <v>18200</v>
      </c>
      <c r="P683"/>
      <c r="T683">
        <f>dataset!$K683*dataset!$G683</f>
        <v>18200</v>
      </c>
    </row>
    <row r="684" spans="1:20" x14ac:dyDescent="0.35">
      <c r="A684" s="2">
        <v>45836</v>
      </c>
      <c r="B684">
        <f t="shared" si="21"/>
        <v>28</v>
      </c>
      <c r="C684" t="s">
        <v>29</v>
      </c>
      <c r="D684" t="s">
        <v>46</v>
      </c>
      <c r="E684" t="s">
        <v>42</v>
      </c>
      <c r="F684" t="s">
        <v>31</v>
      </c>
      <c r="G684">
        <v>11</v>
      </c>
      <c r="H684">
        <v>1411</v>
      </c>
      <c r="I684" t="s">
        <v>757</v>
      </c>
      <c r="J684" t="s">
        <v>15</v>
      </c>
      <c r="K684">
        <v>950</v>
      </c>
      <c r="L684" s="7">
        <f t="shared" si="20"/>
        <v>15521</v>
      </c>
      <c r="M684" s="7">
        <f>dataset!$L684-T684</f>
        <v>5071</v>
      </c>
      <c r="N684" s="7">
        <f>dataset!$M684/dataset!$L684*100</f>
        <v>32.671863926293412</v>
      </c>
      <c r="O684" s="25">
        <f>dataset!$K684*dataset!$G684</f>
        <v>10450</v>
      </c>
      <c r="P684"/>
      <c r="T684">
        <f>dataset!$K684*dataset!$G684</f>
        <v>10450</v>
      </c>
    </row>
    <row r="685" spans="1:20" x14ac:dyDescent="0.35">
      <c r="A685" s="2">
        <v>45787</v>
      </c>
      <c r="B685">
        <f t="shared" si="21"/>
        <v>10</v>
      </c>
      <c r="C685" t="s">
        <v>10</v>
      </c>
      <c r="D685" t="s">
        <v>11</v>
      </c>
      <c r="E685" t="s">
        <v>42</v>
      </c>
      <c r="F685" t="s">
        <v>52</v>
      </c>
      <c r="G685">
        <v>12</v>
      </c>
      <c r="H685">
        <v>1104</v>
      </c>
      <c r="I685" t="s">
        <v>758</v>
      </c>
      <c r="J685" t="s">
        <v>15</v>
      </c>
      <c r="K685">
        <v>700</v>
      </c>
      <c r="L685" s="7">
        <f t="shared" si="20"/>
        <v>13248</v>
      </c>
      <c r="M685" s="7">
        <f>dataset!$L685-T685</f>
        <v>4848</v>
      </c>
      <c r="N685" s="7">
        <f>dataset!$M685/dataset!$L685*100</f>
        <v>36.594202898550726</v>
      </c>
      <c r="O685" s="25">
        <f>dataset!$K685*dataset!$G685</f>
        <v>8400</v>
      </c>
      <c r="P685"/>
      <c r="T685">
        <f>dataset!$K685*dataset!$G685</f>
        <v>8400</v>
      </c>
    </row>
    <row r="686" spans="1:20" x14ac:dyDescent="0.35">
      <c r="A686" s="2">
        <v>45761</v>
      </c>
      <c r="B686">
        <f t="shared" si="21"/>
        <v>14</v>
      </c>
      <c r="C686" t="s">
        <v>35</v>
      </c>
      <c r="D686" t="s">
        <v>16</v>
      </c>
      <c r="E686" t="s">
        <v>67</v>
      </c>
      <c r="F686" t="s">
        <v>18</v>
      </c>
      <c r="G686">
        <v>12</v>
      </c>
      <c r="H686">
        <v>945</v>
      </c>
      <c r="I686" t="s">
        <v>759</v>
      </c>
      <c r="J686" t="s">
        <v>15</v>
      </c>
      <c r="K686">
        <v>600</v>
      </c>
      <c r="L686" s="7">
        <f t="shared" si="20"/>
        <v>11340</v>
      </c>
      <c r="M686" s="7">
        <f>dataset!$L686-T686</f>
        <v>4140</v>
      </c>
      <c r="N686" s="7">
        <f>dataset!$M686/dataset!$L686*100</f>
        <v>36.507936507936506</v>
      </c>
      <c r="O686" s="25">
        <f>dataset!$K686*dataset!$G686</f>
        <v>7200</v>
      </c>
      <c r="P686"/>
      <c r="T686">
        <f>dataset!$K686*dataset!$G686</f>
        <v>7200</v>
      </c>
    </row>
    <row r="687" spans="1:20" x14ac:dyDescent="0.35">
      <c r="A687" s="2">
        <v>45756</v>
      </c>
      <c r="B687">
        <f t="shared" si="21"/>
        <v>9</v>
      </c>
      <c r="C687" t="s">
        <v>26</v>
      </c>
      <c r="D687" t="s">
        <v>33</v>
      </c>
      <c r="E687" t="s">
        <v>75</v>
      </c>
      <c r="F687" t="s">
        <v>52</v>
      </c>
      <c r="G687">
        <v>22</v>
      </c>
      <c r="H687">
        <v>991</v>
      </c>
      <c r="I687" t="s">
        <v>760</v>
      </c>
      <c r="J687" t="s">
        <v>25</v>
      </c>
      <c r="K687">
        <v>600</v>
      </c>
      <c r="L687" s="7">
        <f t="shared" si="20"/>
        <v>21802</v>
      </c>
      <c r="M687" s="7">
        <f>dataset!$L687-T687</f>
        <v>8602</v>
      </c>
      <c r="N687" s="7">
        <f>dataset!$M687/dataset!$L687*100</f>
        <v>39.455095862764885</v>
      </c>
      <c r="O687" s="25">
        <f>dataset!$K687*dataset!$G687</f>
        <v>13200</v>
      </c>
      <c r="P687"/>
      <c r="T687">
        <f>dataset!$K687*dataset!$G687</f>
        <v>13200</v>
      </c>
    </row>
    <row r="688" spans="1:20" x14ac:dyDescent="0.35">
      <c r="A688" s="2">
        <v>45763</v>
      </c>
      <c r="B688">
        <f t="shared" si="21"/>
        <v>16</v>
      </c>
      <c r="C688" t="s">
        <v>26</v>
      </c>
      <c r="D688" t="s">
        <v>27</v>
      </c>
      <c r="E688" t="s">
        <v>64</v>
      </c>
      <c r="F688" t="s">
        <v>59</v>
      </c>
      <c r="G688">
        <v>8</v>
      </c>
      <c r="H688">
        <v>427</v>
      </c>
      <c r="I688" t="s">
        <v>761</v>
      </c>
      <c r="J688" t="s">
        <v>25</v>
      </c>
      <c r="K688">
        <v>300</v>
      </c>
      <c r="L688" s="7">
        <f t="shared" si="20"/>
        <v>3416</v>
      </c>
      <c r="M688" s="7">
        <f>dataset!$L688-T688</f>
        <v>1016</v>
      </c>
      <c r="N688" s="7">
        <f>dataset!$M688/dataset!$L688*100</f>
        <v>29.742388758782202</v>
      </c>
      <c r="O688" s="25">
        <f>dataset!$K688*dataset!$G688</f>
        <v>2400</v>
      </c>
      <c r="P688"/>
      <c r="T688">
        <f>dataset!$K688*dataset!$G688</f>
        <v>2400</v>
      </c>
    </row>
    <row r="689" spans="1:20" x14ac:dyDescent="0.35">
      <c r="A689" s="2">
        <v>45776</v>
      </c>
      <c r="B689">
        <f t="shared" si="21"/>
        <v>29</v>
      </c>
      <c r="C689" t="s">
        <v>35</v>
      </c>
      <c r="D689" t="s">
        <v>33</v>
      </c>
      <c r="E689" t="s">
        <v>42</v>
      </c>
      <c r="F689" t="s">
        <v>56</v>
      </c>
      <c r="G689">
        <v>45</v>
      </c>
      <c r="H689">
        <v>2699</v>
      </c>
      <c r="I689" t="s">
        <v>762</v>
      </c>
      <c r="J689" t="s">
        <v>25</v>
      </c>
      <c r="K689">
        <v>1750</v>
      </c>
      <c r="L689" s="7">
        <f t="shared" si="20"/>
        <v>121455</v>
      </c>
      <c r="M689" s="7">
        <f>dataset!$L689-T689</f>
        <v>42705</v>
      </c>
      <c r="N689" s="7">
        <f>dataset!$M689/dataset!$L689*100</f>
        <v>35.161170804001486</v>
      </c>
      <c r="O689" s="25">
        <f>dataset!$K689*dataset!$G689</f>
        <v>78750</v>
      </c>
      <c r="P689"/>
      <c r="T689">
        <f>dataset!$K689*dataset!$G689</f>
        <v>78750</v>
      </c>
    </row>
    <row r="690" spans="1:20" x14ac:dyDescent="0.35">
      <c r="A690" s="2">
        <v>45788</v>
      </c>
      <c r="B690">
        <f t="shared" si="21"/>
        <v>11</v>
      </c>
      <c r="C690" t="s">
        <v>35</v>
      </c>
      <c r="D690" t="s">
        <v>33</v>
      </c>
      <c r="E690" t="s">
        <v>64</v>
      </c>
      <c r="F690" t="s">
        <v>56</v>
      </c>
      <c r="G690">
        <v>5</v>
      </c>
      <c r="H690">
        <v>1473</v>
      </c>
      <c r="I690" t="s">
        <v>763</v>
      </c>
      <c r="J690" t="s">
        <v>25</v>
      </c>
      <c r="K690">
        <v>1150</v>
      </c>
      <c r="L690" s="7">
        <f t="shared" si="20"/>
        <v>7365</v>
      </c>
      <c r="M690" s="7">
        <f>dataset!$L690-T690</f>
        <v>1615</v>
      </c>
      <c r="N690" s="7">
        <f>dataset!$M690/dataset!$L690*100</f>
        <v>21.928038017651051</v>
      </c>
      <c r="O690" s="25">
        <f>dataset!$K690*dataset!$G690</f>
        <v>5750</v>
      </c>
      <c r="P690"/>
      <c r="T690">
        <f>dataset!$K690*dataset!$G690</f>
        <v>5750</v>
      </c>
    </row>
    <row r="691" spans="1:20" x14ac:dyDescent="0.35">
      <c r="A691" s="2">
        <v>45837</v>
      </c>
      <c r="B691">
        <f t="shared" si="21"/>
        <v>29</v>
      </c>
      <c r="C691" t="s">
        <v>35</v>
      </c>
      <c r="D691" t="s">
        <v>46</v>
      </c>
      <c r="E691" t="s">
        <v>54</v>
      </c>
      <c r="F691" t="s">
        <v>40</v>
      </c>
      <c r="G691">
        <v>6</v>
      </c>
      <c r="H691">
        <v>2559</v>
      </c>
      <c r="I691" t="s">
        <v>116</v>
      </c>
      <c r="J691" t="s">
        <v>15</v>
      </c>
      <c r="K691">
        <v>1850</v>
      </c>
      <c r="L691" s="7">
        <f t="shared" si="20"/>
        <v>15354</v>
      </c>
      <c r="M691" s="7">
        <f>dataset!$L691-T691</f>
        <v>4254</v>
      </c>
      <c r="N691" s="7">
        <f>dataset!$M691/dataset!$L691*100</f>
        <v>27.706135209066041</v>
      </c>
      <c r="O691" s="25">
        <f>dataset!$K691*dataset!$G691</f>
        <v>11100</v>
      </c>
      <c r="P691"/>
      <c r="T691">
        <f>dataset!$K691*dataset!$G691</f>
        <v>11100</v>
      </c>
    </row>
    <row r="692" spans="1:20" x14ac:dyDescent="0.35">
      <c r="A692" s="2">
        <v>45778</v>
      </c>
      <c r="B692">
        <f t="shared" si="21"/>
        <v>1</v>
      </c>
      <c r="C692" t="s">
        <v>35</v>
      </c>
      <c r="D692" t="s">
        <v>36</v>
      </c>
      <c r="E692" t="s">
        <v>64</v>
      </c>
      <c r="F692" t="s">
        <v>59</v>
      </c>
      <c r="G692">
        <v>31</v>
      </c>
      <c r="H692">
        <v>2455</v>
      </c>
      <c r="I692" t="s">
        <v>764</v>
      </c>
      <c r="J692" t="s">
        <v>25</v>
      </c>
      <c r="K692">
        <v>2100</v>
      </c>
      <c r="L692" s="7">
        <f t="shared" si="20"/>
        <v>76105</v>
      </c>
      <c r="M692" s="7">
        <f>dataset!$L692-T692</f>
        <v>11005</v>
      </c>
      <c r="N692" s="7">
        <f>dataset!$M692/dataset!$L692*100</f>
        <v>14.460285132382891</v>
      </c>
      <c r="O692" s="25">
        <f>dataset!$K692*dataset!$G692</f>
        <v>65100</v>
      </c>
      <c r="P692"/>
      <c r="T692">
        <f>dataset!$K692*dataset!$G692</f>
        <v>65100</v>
      </c>
    </row>
    <row r="693" spans="1:20" x14ac:dyDescent="0.35">
      <c r="A693" s="2">
        <v>45837</v>
      </c>
      <c r="B693">
        <f t="shared" si="21"/>
        <v>29</v>
      </c>
      <c r="C693" t="s">
        <v>10</v>
      </c>
      <c r="D693" t="s">
        <v>27</v>
      </c>
      <c r="E693" t="s">
        <v>17</v>
      </c>
      <c r="F693" t="s">
        <v>13</v>
      </c>
      <c r="G693">
        <v>29</v>
      </c>
      <c r="H693">
        <v>1810</v>
      </c>
      <c r="I693" t="s">
        <v>765</v>
      </c>
      <c r="J693" t="s">
        <v>15</v>
      </c>
      <c r="K693">
        <v>1150</v>
      </c>
      <c r="L693" s="7">
        <f t="shared" si="20"/>
        <v>52490</v>
      </c>
      <c r="M693" s="7">
        <f>dataset!$L693-T693</f>
        <v>19140</v>
      </c>
      <c r="N693" s="7">
        <f>dataset!$M693/dataset!$L693*100</f>
        <v>36.464088397790057</v>
      </c>
      <c r="O693" s="25">
        <f>dataset!$K693*dataset!$G693</f>
        <v>33350</v>
      </c>
      <c r="P693"/>
      <c r="T693">
        <f>dataset!$K693*dataset!$G693</f>
        <v>33350</v>
      </c>
    </row>
    <row r="694" spans="1:20" x14ac:dyDescent="0.35">
      <c r="A694" s="2">
        <v>45768</v>
      </c>
      <c r="B694">
        <f t="shared" si="21"/>
        <v>21</v>
      </c>
      <c r="C694" t="s">
        <v>29</v>
      </c>
      <c r="D694" t="s">
        <v>16</v>
      </c>
      <c r="E694" t="s">
        <v>75</v>
      </c>
      <c r="F694" t="s">
        <v>40</v>
      </c>
      <c r="G694">
        <v>32</v>
      </c>
      <c r="H694">
        <v>1004</v>
      </c>
      <c r="I694" t="s">
        <v>766</v>
      </c>
      <c r="J694" t="s">
        <v>15</v>
      </c>
      <c r="K694">
        <v>650</v>
      </c>
      <c r="L694" s="7">
        <f t="shared" si="20"/>
        <v>32128</v>
      </c>
      <c r="M694" s="7">
        <f>dataset!$L694-T694</f>
        <v>11328</v>
      </c>
      <c r="N694" s="7">
        <f>dataset!$M694/dataset!$L694*100</f>
        <v>35.258964143426297</v>
      </c>
      <c r="O694" s="25">
        <f>dataset!$K694*dataset!$G694</f>
        <v>20800</v>
      </c>
      <c r="P694"/>
      <c r="T694">
        <f>dataset!$K694*dataset!$G694</f>
        <v>20800</v>
      </c>
    </row>
    <row r="695" spans="1:20" x14ac:dyDescent="0.35">
      <c r="A695" s="2">
        <v>45758</v>
      </c>
      <c r="B695">
        <f t="shared" si="21"/>
        <v>11</v>
      </c>
      <c r="C695" t="s">
        <v>26</v>
      </c>
      <c r="D695" t="s">
        <v>11</v>
      </c>
      <c r="E695" t="s">
        <v>42</v>
      </c>
      <c r="F695" t="s">
        <v>18</v>
      </c>
      <c r="G695">
        <v>6</v>
      </c>
      <c r="H695">
        <v>1020</v>
      </c>
      <c r="I695" t="s">
        <v>767</v>
      </c>
      <c r="J695" t="s">
        <v>15</v>
      </c>
      <c r="K695">
        <v>600</v>
      </c>
      <c r="L695" s="7">
        <f t="shared" si="20"/>
        <v>6120</v>
      </c>
      <c r="M695" s="7">
        <f>dataset!$L695-T695</f>
        <v>2520</v>
      </c>
      <c r="N695" s="7">
        <f>dataset!$M695/dataset!$L695*100</f>
        <v>41.17647058823529</v>
      </c>
      <c r="O695" s="25">
        <f>dataset!$K695*dataset!$G695</f>
        <v>3600</v>
      </c>
      <c r="P695"/>
      <c r="T695">
        <f>dataset!$K695*dataset!$G695</f>
        <v>3600</v>
      </c>
    </row>
    <row r="696" spans="1:20" x14ac:dyDescent="0.35">
      <c r="A696" s="2">
        <v>45753</v>
      </c>
      <c r="B696">
        <f t="shared" si="21"/>
        <v>6</v>
      </c>
      <c r="C696" t="s">
        <v>20</v>
      </c>
      <c r="D696" t="s">
        <v>16</v>
      </c>
      <c r="E696" t="s">
        <v>67</v>
      </c>
      <c r="F696" t="s">
        <v>56</v>
      </c>
      <c r="G696">
        <v>19</v>
      </c>
      <c r="H696">
        <v>313</v>
      </c>
      <c r="I696" t="s">
        <v>768</v>
      </c>
      <c r="J696" t="s">
        <v>25</v>
      </c>
      <c r="K696">
        <v>250</v>
      </c>
      <c r="L696" s="7">
        <f t="shared" si="20"/>
        <v>5947</v>
      </c>
      <c r="M696" s="7">
        <f>dataset!$L696-T696</f>
        <v>1197</v>
      </c>
      <c r="N696" s="7">
        <f>dataset!$M696/dataset!$L696*100</f>
        <v>20.12779552715655</v>
      </c>
      <c r="O696" s="25">
        <f>dataset!$K696*dataset!$G696</f>
        <v>4750</v>
      </c>
      <c r="P696"/>
      <c r="T696">
        <f>dataset!$K696*dataset!$G696</f>
        <v>4750</v>
      </c>
    </row>
    <row r="697" spans="1:20" x14ac:dyDescent="0.35">
      <c r="A697" s="2">
        <v>45832</v>
      </c>
      <c r="B697">
        <f t="shared" si="21"/>
        <v>24</v>
      </c>
      <c r="C697" t="s">
        <v>20</v>
      </c>
      <c r="D697" t="s">
        <v>16</v>
      </c>
      <c r="E697" t="s">
        <v>30</v>
      </c>
      <c r="F697" t="s">
        <v>40</v>
      </c>
      <c r="G697">
        <v>30</v>
      </c>
      <c r="H697">
        <v>1296</v>
      </c>
      <c r="I697" t="s">
        <v>769</v>
      </c>
      <c r="J697" t="s">
        <v>25</v>
      </c>
      <c r="K697">
        <v>750</v>
      </c>
      <c r="L697" s="7">
        <f t="shared" si="20"/>
        <v>38880</v>
      </c>
      <c r="M697" s="7">
        <f>dataset!$L697-T697</f>
        <v>16380</v>
      </c>
      <c r="N697" s="7">
        <f>dataset!$M697/dataset!$L697*100</f>
        <v>42.129629629629626</v>
      </c>
      <c r="O697" s="25">
        <f>dataset!$K697*dataset!$G697</f>
        <v>22500</v>
      </c>
      <c r="P697"/>
      <c r="T697">
        <f>dataset!$K697*dataset!$G697</f>
        <v>22500</v>
      </c>
    </row>
    <row r="698" spans="1:20" x14ac:dyDescent="0.35">
      <c r="A698" s="2">
        <v>45795</v>
      </c>
      <c r="B698">
        <f t="shared" si="21"/>
        <v>18</v>
      </c>
      <c r="C698" t="s">
        <v>26</v>
      </c>
      <c r="D698" t="s">
        <v>21</v>
      </c>
      <c r="E698" t="s">
        <v>22</v>
      </c>
      <c r="F698" t="s">
        <v>47</v>
      </c>
      <c r="G698">
        <v>9</v>
      </c>
      <c r="H698">
        <v>2068</v>
      </c>
      <c r="I698" t="s">
        <v>770</v>
      </c>
      <c r="J698" t="s">
        <v>15</v>
      </c>
      <c r="K698">
        <v>1200</v>
      </c>
      <c r="L698" s="7">
        <f t="shared" si="20"/>
        <v>18612</v>
      </c>
      <c r="M698" s="7">
        <f>dataset!$L698-T698</f>
        <v>7812</v>
      </c>
      <c r="N698" s="7">
        <f>dataset!$M698/dataset!$L698*100</f>
        <v>41.972920696324948</v>
      </c>
      <c r="O698" s="25">
        <f>dataset!$K698*dataset!$G698</f>
        <v>10800</v>
      </c>
      <c r="P698"/>
      <c r="T698">
        <f>dataset!$K698*dataset!$G698</f>
        <v>10800</v>
      </c>
    </row>
    <row r="699" spans="1:20" x14ac:dyDescent="0.35">
      <c r="A699" s="2">
        <v>45818</v>
      </c>
      <c r="B699">
        <f t="shared" si="21"/>
        <v>10</v>
      </c>
      <c r="C699" t="s">
        <v>20</v>
      </c>
      <c r="D699" t="s">
        <v>46</v>
      </c>
      <c r="E699" t="s">
        <v>75</v>
      </c>
      <c r="F699" t="s">
        <v>18</v>
      </c>
      <c r="G699">
        <v>19</v>
      </c>
      <c r="H699">
        <v>1506</v>
      </c>
      <c r="I699" t="s">
        <v>771</v>
      </c>
      <c r="J699" t="s">
        <v>25</v>
      </c>
      <c r="K699">
        <v>1000</v>
      </c>
      <c r="L699" s="7">
        <f t="shared" si="20"/>
        <v>28614</v>
      </c>
      <c r="M699" s="7">
        <f>dataset!$L699-T699</f>
        <v>9614</v>
      </c>
      <c r="N699" s="7">
        <f>dataset!$M699/dataset!$L699*100</f>
        <v>33.598937583001323</v>
      </c>
      <c r="O699" s="25">
        <f>dataset!$K699*dataset!$G699</f>
        <v>19000</v>
      </c>
      <c r="P699"/>
      <c r="T699">
        <f>dataset!$K699*dataset!$G699</f>
        <v>19000</v>
      </c>
    </row>
    <row r="700" spans="1:20" x14ac:dyDescent="0.35">
      <c r="A700" s="2">
        <v>45825</v>
      </c>
      <c r="B700">
        <f t="shared" si="21"/>
        <v>17</v>
      </c>
      <c r="C700" t="s">
        <v>20</v>
      </c>
      <c r="D700" t="s">
        <v>11</v>
      </c>
      <c r="E700" t="s">
        <v>54</v>
      </c>
      <c r="F700" t="s">
        <v>37</v>
      </c>
      <c r="G700">
        <v>26</v>
      </c>
      <c r="H700">
        <v>1673</v>
      </c>
      <c r="I700" t="s">
        <v>772</v>
      </c>
      <c r="J700" t="s">
        <v>25</v>
      </c>
      <c r="K700">
        <v>1350</v>
      </c>
      <c r="L700" s="7">
        <f t="shared" si="20"/>
        <v>43498</v>
      </c>
      <c r="M700" s="7">
        <f>dataset!$L700-T700</f>
        <v>8398</v>
      </c>
      <c r="N700" s="7">
        <f>dataset!$M700/dataset!$L700*100</f>
        <v>19.306634787806338</v>
      </c>
      <c r="O700" s="25">
        <f>dataset!$K700*dataset!$G700</f>
        <v>35100</v>
      </c>
      <c r="P700"/>
      <c r="T700">
        <f>dataset!$K700*dataset!$G700</f>
        <v>35100</v>
      </c>
    </row>
    <row r="701" spans="1:20" x14ac:dyDescent="0.35">
      <c r="A701" s="2">
        <v>45836</v>
      </c>
      <c r="B701">
        <f t="shared" si="21"/>
        <v>28</v>
      </c>
      <c r="C701" t="s">
        <v>10</v>
      </c>
      <c r="D701" t="s">
        <v>33</v>
      </c>
      <c r="E701" t="s">
        <v>22</v>
      </c>
      <c r="F701" t="s">
        <v>56</v>
      </c>
      <c r="G701">
        <v>47</v>
      </c>
      <c r="H701">
        <v>1623</v>
      </c>
      <c r="I701" t="s">
        <v>773</v>
      </c>
      <c r="J701" t="s">
        <v>15</v>
      </c>
      <c r="K701">
        <v>950</v>
      </c>
      <c r="L701" s="7">
        <f t="shared" si="20"/>
        <v>76281</v>
      </c>
      <c r="M701" s="7">
        <f>dataset!$L701-T701</f>
        <v>31631</v>
      </c>
      <c r="N701" s="7">
        <f>dataset!$M701/dataset!$L701*100</f>
        <v>41.466420209488604</v>
      </c>
      <c r="O701" s="25">
        <f>dataset!$K701*dataset!$G701</f>
        <v>44650</v>
      </c>
      <c r="P701"/>
      <c r="T701">
        <f>dataset!$K701*dataset!$G701</f>
        <v>44650</v>
      </c>
    </row>
    <row r="702" spans="1:20" x14ac:dyDescent="0.35">
      <c r="A702" s="2">
        <v>45807</v>
      </c>
      <c r="B702">
        <f t="shared" si="21"/>
        <v>30</v>
      </c>
      <c r="C702" t="s">
        <v>10</v>
      </c>
      <c r="D702" t="s">
        <v>16</v>
      </c>
      <c r="E702" t="s">
        <v>39</v>
      </c>
      <c r="F702" t="s">
        <v>47</v>
      </c>
      <c r="G702">
        <v>22</v>
      </c>
      <c r="H702">
        <v>1401</v>
      </c>
      <c r="I702" t="s">
        <v>117</v>
      </c>
      <c r="J702" t="s">
        <v>25</v>
      </c>
      <c r="K702">
        <v>1200</v>
      </c>
      <c r="L702" s="7">
        <f t="shared" si="20"/>
        <v>30822</v>
      </c>
      <c r="M702" s="7">
        <f>dataset!$L702-T702</f>
        <v>4422</v>
      </c>
      <c r="N702" s="7">
        <f>dataset!$M702/dataset!$L702*100</f>
        <v>14.346895074946467</v>
      </c>
      <c r="O702" s="25">
        <f>dataset!$K702*dataset!$G702</f>
        <v>26400</v>
      </c>
      <c r="P702"/>
      <c r="T702">
        <f>dataset!$K702*dataset!$G702</f>
        <v>26400</v>
      </c>
    </row>
    <row r="703" spans="1:20" x14ac:dyDescent="0.35">
      <c r="A703" s="2">
        <v>45760</v>
      </c>
      <c r="B703">
        <f t="shared" si="21"/>
        <v>13</v>
      </c>
      <c r="C703" t="s">
        <v>20</v>
      </c>
      <c r="D703" t="s">
        <v>46</v>
      </c>
      <c r="E703" t="s">
        <v>22</v>
      </c>
      <c r="F703" t="s">
        <v>40</v>
      </c>
      <c r="G703">
        <v>46</v>
      </c>
      <c r="H703">
        <v>307</v>
      </c>
      <c r="I703" t="s">
        <v>774</v>
      </c>
      <c r="J703" t="s">
        <v>15</v>
      </c>
      <c r="K703">
        <v>200</v>
      </c>
      <c r="L703" s="7">
        <f t="shared" si="20"/>
        <v>14122</v>
      </c>
      <c r="M703" s="7">
        <f>dataset!$L703-T703</f>
        <v>4922</v>
      </c>
      <c r="N703" s="7">
        <f>dataset!$M703/dataset!$L703*100</f>
        <v>34.853420195439739</v>
      </c>
      <c r="O703" s="25">
        <f>dataset!$K703*dataset!$G703</f>
        <v>9200</v>
      </c>
      <c r="P703"/>
      <c r="T703">
        <f>dataset!$K703*dataset!$G703</f>
        <v>9200</v>
      </c>
    </row>
    <row r="704" spans="1:20" x14ac:dyDescent="0.35">
      <c r="A704" s="2">
        <v>45748</v>
      </c>
      <c r="B704">
        <f t="shared" si="21"/>
        <v>1</v>
      </c>
      <c r="C704" t="s">
        <v>35</v>
      </c>
      <c r="D704" t="s">
        <v>33</v>
      </c>
      <c r="E704" t="s">
        <v>75</v>
      </c>
      <c r="F704" t="s">
        <v>56</v>
      </c>
      <c r="G704">
        <v>14</v>
      </c>
      <c r="H704">
        <v>2024</v>
      </c>
      <c r="I704" t="s">
        <v>775</v>
      </c>
      <c r="J704" t="s">
        <v>15</v>
      </c>
      <c r="K704">
        <v>1050</v>
      </c>
      <c r="L704" s="7">
        <f t="shared" si="20"/>
        <v>28336</v>
      </c>
      <c r="M704" s="7">
        <f>dataset!$L704-T704</f>
        <v>13636</v>
      </c>
      <c r="N704" s="7">
        <f>dataset!$M704/dataset!$L704*100</f>
        <v>48.122529644268774</v>
      </c>
      <c r="O704" s="25">
        <f>dataset!$K704*dataset!$G704</f>
        <v>14700</v>
      </c>
      <c r="P704"/>
      <c r="T704">
        <f>dataset!$K704*dataset!$G704</f>
        <v>14700</v>
      </c>
    </row>
    <row r="705" spans="1:20" x14ac:dyDescent="0.35">
      <c r="A705" s="2">
        <v>45786</v>
      </c>
      <c r="B705">
        <f t="shared" si="21"/>
        <v>9</v>
      </c>
      <c r="C705" t="s">
        <v>10</v>
      </c>
      <c r="D705" t="s">
        <v>27</v>
      </c>
      <c r="E705" t="s">
        <v>42</v>
      </c>
      <c r="F705" t="s">
        <v>13</v>
      </c>
      <c r="G705">
        <v>14</v>
      </c>
      <c r="H705">
        <v>454</v>
      </c>
      <c r="I705" t="s">
        <v>776</v>
      </c>
      <c r="J705" t="s">
        <v>25</v>
      </c>
      <c r="K705">
        <v>400</v>
      </c>
      <c r="L705" s="7">
        <f t="shared" si="20"/>
        <v>6356</v>
      </c>
      <c r="M705" s="7">
        <f>dataset!$L705-T705</f>
        <v>756</v>
      </c>
      <c r="N705" s="7">
        <f>dataset!$M705/dataset!$L705*100</f>
        <v>11.894273127753303</v>
      </c>
      <c r="O705" s="25">
        <f>dataset!$K705*dataset!$G705</f>
        <v>5600</v>
      </c>
      <c r="P705"/>
      <c r="T705">
        <f>dataset!$K705*dataset!$G705</f>
        <v>5600</v>
      </c>
    </row>
    <row r="706" spans="1:20" x14ac:dyDescent="0.35">
      <c r="A706" s="2">
        <v>45825</v>
      </c>
      <c r="B706">
        <f t="shared" si="21"/>
        <v>17</v>
      </c>
      <c r="C706" t="s">
        <v>35</v>
      </c>
      <c r="D706" t="s">
        <v>36</v>
      </c>
      <c r="E706" t="s">
        <v>54</v>
      </c>
      <c r="F706" t="s">
        <v>59</v>
      </c>
      <c r="G706">
        <v>7</v>
      </c>
      <c r="H706">
        <v>1680</v>
      </c>
      <c r="I706" t="s">
        <v>777</v>
      </c>
      <c r="J706" t="s">
        <v>15</v>
      </c>
      <c r="K706">
        <v>1350</v>
      </c>
      <c r="L706" s="7">
        <f t="shared" ref="L706:L769" si="22">G706*H706</f>
        <v>11760</v>
      </c>
      <c r="M706" s="7">
        <f>dataset!$L706-T706</f>
        <v>2310</v>
      </c>
      <c r="N706" s="7">
        <f>dataset!$M706/dataset!$L706*100</f>
        <v>19.642857142857142</v>
      </c>
      <c r="O706" s="25">
        <f>dataset!$K706*dataset!$G706</f>
        <v>9450</v>
      </c>
      <c r="P706"/>
      <c r="T706">
        <f>dataset!$K706*dataset!$G706</f>
        <v>9450</v>
      </c>
    </row>
    <row r="707" spans="1:20" x14ac:dyDescent="0.35">
      <c r="A707" s="2">
        <v>45780</v>
      </c>
      <c r="B707">
        <f t="shared" ref="B707:B770" si="23">DAY(A707)</f>
        <v>3</v>
      </c>
      <c r="C707" t="s">
        <v>35</v>
      </c>
      <c r="D707" t="s">
        <v>11</v>
      </c>
      <c r="E707" t="s">
        <v>67</v>
      </c>
      <c r="F707" t="s">
        <v>52</v>
      </c>
      <c r="G707">
        <v>50</v>
      </c>
      <c r="H707">
        <v>652</v>
      </c>
      <c r="I707" t="s">
        <v>778</v>
      </c>
      <c r="J707" t="s">
        <v>25</v>
      </c>
      <c r="K707">
        <v>350</v>
      </c>
      <c r="L707" s="7">
        <f t="shared" si="22"/>
        <v>32600</v>
      </c>
      <c r="M707" s="7">
        <f>dataset!$L707-T707</f>
        <v>15100</v>
      </c>
      <c r="N707" s="7">
        <f>dataset!$M707/dataset!$L707*100</f>
        <v>46.319018404907972</v>
      </c>
      <c r="O707" s="25">
        <f>dataset!$K707*dataset!$G707</f>
        <v>17500</v>
      </c>
      <c r="P707"/>
      <c r="T707">
        <f>dataset!$K707*dataset!$G707</f>
        <v>17500</v>
      </c>
    </row>
    <row r="708" spans="1:20" x14ac:dyDescent="0.35">
      <c r="A708" s="2">
        <v>45838</v>
      </c>
      <c r="B708">
        <f t="shared" si="23"/>
        <v>30</v>
      </c>
      <c r="C708" t="s">
        <v>35</v>
      </c>
      <c r="D708" t="s">
        <v>33</v>
      </c>
      <c r="E708" t="s">
        <v>54</v>
      </c>
      <c r="F708" t="s">
        <v>52</v>
      </c>
      <c r="G708">
        <v>5</v>
      </c>
      <c r="H708">
        <v>702</v>
      </c>
      <c r="I708" t="s">
        <v>779</v>
      </c>
      <c r="J708" t="s">
        <v>15</v>
      </c>
      <c r="K708">
        <v>400</v>
      </c>
      <c r="L708" s="7">
        <f t="shared" si="22"/>
        <v>3510</v>
      </c>
      <c r="M708" s="7">
        <f>dataset!$L708-T708</f>
        <v>1510</v>
      </c>
      <c r="N708" s="7">
        <f>dataset!$M708/dataset!$L708*100</f>
        <v>43.019943019943021</v>
      </c>
      <c r="O708" s="25">
        <f>dataset!$K708*dataset!$G708</f>
        <v>2000</v>
      </c>
      <c r="P708"/>
      <c r="T708">
        <f>dataset!$K708*dataset!$G708</f>
        <v>2000</v>
      </c>
    </row>
    <row r="709" spans="1:20" x14ac:dyDescent="0.35">
      <c r="A709" s="2">
        <v>45766</v>
      </c>
      <c r="B709">
        <f t="shared" si="23"/>
        <v>19</v>
      </c>
      <c r="C709" t="s">
        <v>26</v>
      </c>
      <c r="D709" t="s">
        <v>36</v>
      </c>
      <c r="E709" t="s">
        <v>22</v>
      </c>
      <c r="F709" t="s">
        <v>52</v>
      </c>
      <c r="G709">
        <v>32</v>
      </c>
      <c r="H709">
        <v>2158</v>
      </c>
      <c r="I709" t="s">
        <v>780</v>
      </c>
      <c r="J709" t="s">
        <v>15</v>
      </c>
      <c r="K709">
        <v>1350</v>
      </c>
      <c r="L709" s="7">
        <f t="shared" si="22"/>
        <v>69056</v>
      </c>
      <c r="M709" s="7">
        <f>dataset!$L709-T709</f>
        <v>25856</v>
      </c>
      <c r="N709" s="7">
        <f>dataset!$M709/dataset!$L709*100</f>
        <v>37.442075996292864</v>
      </c>
      <c r="O709" s="25">
        <f>dataset!$K709*dataset!$G709</f>
        <v>43200</v>
      </c>
      <c r="P709"/>
      <c r="T709">
        <f>dataset!$K709*dataset!$G709</f>
        <v>43200</v>
      </c>
    </row>
    <row r="710" spans="1:20" x14ac:dyDescent="0.35">
      <c r="A710" s="2">
        <v>45794</v>
      </c>
      <c r="B710">
        <f t="shared" si="23"/>
        <v>17</v>
      </c>
      <c r="C710" t="s">
        <v>10</v>
      </c>
      <c r="D710" t="s">
        <v>11</v>
      </c>
      <c r="E710" t="s">
        <v>12</v>
      </c>
      <c r="F710" t="s">
        <v>37</v>
      </c>
      <c r="G710">
        <v>11</v>
      </c>
      <c r="H710">
        <v>2547</v>
      </c>
      <c r="I710" t="s">
        <v>781</v>
      </c>
      <c r="J710" t="s">
        <v>25</v>
      </c>
      <c r="K710">
        <v>2000</v>
      </c>
      <c r="L710" s="7">
        <f t="shared" si="22"/>
        <v>28017</v>
      </c>
      <c r="M710" s="7">
        <f>dataset!$L710-T710</f>
        <v>6017</v>
      </c>
      <c r="N710" s="7">
        <f>dataset!$M710/dataset!$L710*100</f>
        <v>21.476246564585789</v>
      </c>
      <c r="O710" s="25">
        <f>dataset!$K710*dataset!$G710</f>
        <v>22000</v>
      </c>
      <c r="P710"/>
      <c r="T710">
        <f>dataset!$K710*dataset!$G710</f>
        <v>22000</v>
      </c>
    </row>
    <row r="711" spans="1:20" x14ac:dyDescent="0.35">
      <c r="A711" s="2">
        <v>45790</v>
      </c>
      <c r="B711">
        <f t="shared" si="23"/>
        <v>13</v>
      </c>
      <c r="C711" t="s">
        <v>35</v>
      </c>
      <c r="D711" t="s">
        <v>21</v>
      </c>
      <c r="E711" t="s">
        <v>30</v>
      </c>
      <c r="F711" t="s">
        <v>18</v>
      </c>
      <c r="G711">
        <v>30</v>
      </c>
      <c r="H711">
        <v>2467</v>
      </c>
      <c r="I711" t="s">
        <v>782</v>
      </c>
      <c r="J711" t="s">
        <v>25</v>
      </c>
      <c r="K711">
        <v>2100</v>
      </c>
      <c r="L711" s="7">
        <f t="shared" si="22"/>
        <v>74010</v>
      </c>
      <c r="M711" s="7">
        <f>dataset!$L711-T711</f>
        <v>11010</v>
      </c>
      <c r="N711" s="7">
        <f>dataset!$M711/dataset!$L711*100</f>
        <v>14.87636805837049</v>
      </c>
      <c r="O711" s="25">
        <f>dataset!$K711*dataset!$G711</f>
        <v>63000</v>
      </c>
      <c r="P711"/>
      <c r="T711">
        <f>dataset!$K711*dataset!$G711</f>
        <v>63000</v>
      </c>
    </row>
    <row r="712" spans="1:20" x14ac:dyDescent="0.35">
      <c r="A712" s="2">
        <v>45755</v>
      </c>
      <c r="B712">
        <f t="shared" si="23"/>
        <v>8</v>
      </c>
      <c r="C712" t="s">
        <v>10</v>
      </c>
      <c r="D712" t="s">
        <v>46</v>
      </c>
      <c r="E712" t="s">
        <v>67</v>
      </c>
      <c r="F712" t="s">
        <v>23</v>
      </c>
      <c r="G712">
        <v>43</v>
      </c>
      <c r="H712">
        <v>2564</v>
      </c>
      <c r="I712" t="s">
        <v>783</v>
      </c>
      <c r="J712" t="s">
        <v>25</v>
      </c>
      <c r="K712">
        <v>2250</v>
      </c>
      <c r="L712" s="7">
        <f t="shared" si="22"/>
        <v>110252</v>
      </c>
      <c r="M712" s="7">
        <f>dataset!$L712-T712</f>
        <v>13502</v>
      </c>
      <c r="N712" s="7">
        <f>dataset!$M712/dataset!$L712*100</f>
        <v>12.246489859594384</v>
      </c>
      <c r="O712" s="25">
        <f>dataset!$K712*dataset!$G712</f>
        <v>96750</v>
      </c>
      <c r="P712"/>
      <c r="T712">
        <f>dataset!$K712*dataset!$G712</f>
        <v>96750</v>
      </c>
    </row>
    <row r="713" spans="1:20" x14ac:dyDescent="0.35">
      <c r="A713" s="2">
        <v>45749</v>
      </c>
      <c r="B713">
        <f t="shared" si="23"/>
        <v>2</v>
      </c>
      <c r="C713" t="s">
        <v>35</v>
      </c>
      <c r="D713" t="s">
        <v>36</v>
      </c>
      <c r="E713" t="s">
        <v>17</v>
      </c>
      <c r="F713" t="s">
        <v>31</v>
      </c>
      <c r="G713">
        <v>45</v>
      </c>
      <c r="H713">
        <v>1653</v>
      </c>
      <c r="I713" t="s">
        <v>118</v>
      </c>
      <c r="J713" t="s">
        <v>25</v>
      </c>
      <c r="K713">
        <v>850</v>
      </c>
      <c r="L713" s="7">
        <f t="shared" si="22"/>
        <v>74385</v>
      </c>
      <c r="M713" s="7">
        <f>dataset!$L713-T713</f>
        <v>36135</v>
      </c>
      <c r="N713" s="7">
        <f>dataset!$M713/dataset!$L713*100</f>
        <v>48.578342407743499</v>
      </c>
      <c r="O713" s="25">
        <f>dataset!$K713*dataset!$G713</f>
        <v>38250</v>
      </c>
      <c r="P713"/>
      <c r="T713">
        <f>dataset!$K713*dataset!$G713</f>
        <v>38250</v>
      </c>
    </row>
    <row r="714" spans="1:20" x14ac:dyDescent="0.35">
      <c r="A714" s="2">
        <v>45818</v>
      </c>
      <c r="B714">
        <f t="shared" si="23"/>
        <v>10</v>
      </c>
      <c r="C714" t="s">
        <v>35</v>
      </c>
      <c r="D714" t="s">
        <v>66</v>
      </c>
      <c r="E714" t="s">
        <v>67</v>
      </c>
      <c r="F714" t="s">
        <v>40</v>
      </c>
      <c r="G714">
        <v>35</v>
      </c>
      <c r="H714">
        <v>316</v>
      </c>
      <c r="I714" t="s">
        <v>784</v>
      </c>
      <c r="J714" t="s">
        <v>15</v>
      </c>
      <c r="K714">
        <v>200</v>
      </c>
      <c r="L714" s="7">
        <f t="shared" si="22"/>
        <v>11060</v>
      </c>
      <c r="M714" s="7">
        <f>dataset!$L714-T714</f>
        <v>4060</v>
      </c>
      <c r="N714" s="7">
        <f>dataset!$M714/dataset!$L714*100</f>
        <v>36.708860759493675</v>
      </c>
      <c r="O714" s="25">
        <f>dataset!$K714*dataset!$G714</f>
        <v>7000</v>
      </c>
      <c r="P714"/>
      <c r="T714">
        <f>dataset!$K714*dataset!$G714</f>
        <v>7000</v>
      </c>
    </row>
    <row r="715" spans="1:20" x14ac:dyDescent="0.35">
      <c r="A715" s="2">
        <v>45763</v>
      </c>
      <c r="B715">
        <f t="shared" si="23"/>
        <v>16</v>
      </c>
      <c r="C715" t="s">
        <v>29</v>
      </c>
      <c r="D715" t="s">
        <v>11</v>
      </c>
      <c r="E715" t="s">
        <v>39</v>
      </c>
      <c r="F715" t="s">
        <v>37</v>
      </c>
      <c r="G715">
        <v>37</v>
      </c>
      <c r="H715">
        <v>2336</v>
      </c>
      <c r="I715" t="s">
        <v>785</v>
      </c>
      <c r="J715" t="s">
        <v>25</v>
      </c>
      <c r="K715">
        <v>1300</v>
      </c>
      <c r="L715" s="7">
        <f t="shared" si="22"/>
        <v>86432</v>
      </c>
      <c r="M715" s="7">
        <f>dataset!$L715-T715</f>
        <v>38332</v>
      </c>
      <c r="N715" s="7">
        <f>dataset!$M715/dataset!$L715*100</f>
        <v>44.349315068493148</v>
      </c>
      <c r="O715" s="25">
        <f>dataset!$K715*dataset!$G715</f>
        <v>48100</v>
      </c>
      <c r="P715"/>
      <c r="T715">
        <f>dataset!$K715*dataset!$G715</f>
        <v>48100</v>
      </c>
    </row>
    <row r="716" spans="1:20" x14ac:dyDescent="0.35">
      <c r="A716" s="2">
        <v>45776</v>
      </c>
      <c r="B716">
        <f t="shared" si="23"/>
        <v>29</v>
      </c>
      <c r="C716" t="s">
        <v>10</v>
      </c>
      <c r="D716" t="s">
        <v>16</v>
      </c>
      <c r="E716" t="s">
        <v>54</v>
      </c>
      <c r="F716" t="s">
        <v>59</v>
      </c>
      <c r="G716">
        <v>37</v>
      </c>
      <c r="H716">
        <v>1048</v>
      </c>
      <c r="I716" t="s">
        <v>786</v>
      </c>
      <c r="J716" t="s">
        <v>25</v>
      </c>
      <c r="K716">
        <v>700</v>
      </c>
      <c r="L716" s="7">
        <f t="shared" si="22"/>
        <v>38776</v>
      </c>
      <c r="M716" s="7">
        <f>dataset!$L716-T716</f>
        <v>12876</v>
      </c>
      <c r="N716" s="7">
        <f>dataset!$M716/dataset!$L716*100</f>
        <v>33.206106870229007</v>
      </c>
      <c r="O716" s="25">
        <f>dataset!$K716*dataset!$G716</f>
        <v>25900</v>
      </c>
      <c r="P716"/>
      <c r="T716">
        <f>dataset!$K716*dataset!$G716</f>
        <v>25900</v>
      </c>
    </row>
    <row r="717" spans="1:20" x14ac:dyDescent="0.35">
      <c r="A717" s="2">
        <v>45771</v>
      </c>
      <c r="B717">
        <f t="shared" si="23"/>
        <v>24</v>
      </c>
      <c r="C717" t="s">
        <v>26</v>
      </c>
      <c r="D717" t="s">
        <v>33</v>
      </c>
      <c r="E717" t="s">
        <v>64</v>
      </c>
      <c r="F717" t="s">
        <v>52</v>
      </c>
      <c r="G717">
        <v>21</v>
      </c>
      <c r="H717">
        <v>2351</v>
      </c>
      <c r="I717" t="s">
        <v>787</v>
      </c>
      <c r="J717" t="s">
        <v>25</v>
      </c>
      <c r="K717">
        <v>1500</v>
      </c>
      <c r="L717" s="7">
        <f t="shared" si="22"/>
        <v>49371</v>
      </c>
      <c r="M717" s="7">
        <f>dataset!$L717-T717</f>
        <v>17871</v>
      </c>
      <c r="N717" s="7">
        <f>dataset!$M717/dataset!$L717*100</f>
        <v>36.197362824330071</v>
      </c>
      <c r="O717" s="25">
        <f>dataset!$K717*dataset!$G717</f>
        <v>31500</v>
      </c>
      <c r="P717"/>
      <c r="T717">
        <f>dataset!$K717*dataset!$G717</f>
        <v>31500</v>
      </c>
    </row>
    <row r="718" spans="1:20" x14ac:dyDescent="0.35">
      <c r="A718" s="2">
        <v>45837</v>
      </c>
      <c r="B718">
        <f t="shared" si="23"/>
        <v>29</v>
      </c>
      <c r="C718" t="s">
        <v>26</v>
      </c>
      <c r="D718" t="s">
        <v>36</v>
      </c>
      <c r="E718" t="s">
        <v>75</v>
      </c>
      <c r="F718" t="s">
        <v>18</v>
      </c>
      <c r="G718">
        <v>22</v>
      </c>
      <c r="H718">
        <v>2300</v>
      </c>
      <c r="I718" t="s">
        <v>788</v>
      </c>
      <c r="J718" t="s">
        <v>25</v>
      </c>
      <c r="K718">
        <v>1700</v>
      </c>
      <c r="L718" s="7">
        <f t="shared" si="22"/>
        <v>50600</v>
      </c>
      <c r="M718" s="7">
        <f>dataset!$L718-T718</f>
        <v>13200</v>
      </c>
      <c r="N718" s="7">
        <f>dataset!$M718/dataset!$L718*100</f>
        <v>26.086956521739129</v>
      </c>
      <c r="O718" s="25">
        <f>dataset!$K718*dataset!$G718</f>
        <v>37400</v>
      </c>
      <c r="P718"/>
      <c r="T718">
        <f>dataset!$K718*dataset!$G718</f>
        <v>37400</v>
      </c>
    </row>
    <row r="719" spans="1:20" x14ac:dyDescent="0.35">
      <c r="A719" s="2">
        <v>45832</v>
      </c>
      <c r="B719">
        <f t="shared" si="23"/>
        <v>24</v>
      </c>
      <c r="C719" t="s">
        <v>26</v>
      </c>
      <c r="D719" t="s">
        <v>33</v>
      </c>
      <c r="E719" t="s">
        <v>54</v>
      </c>
      <c r="F719" t="s">
        <v>40</v>
      </c>
      <c r="G719">
        <v>44</v>
      </c>
      <c r="H719">
        <v>2581</v>
      </c>
      <c r="I719" t="s">
        <v>789</v>
      </c>
      <c r="J719" t="s">
        <v>25</v>
      </c>
      <c r="K719">
        <v>1800</v>
      </c>
      <c r="L719" s="7">
        <f t="shared" si="22"/>
        <v>113564</v>
      </c>
      <c r="M719" s="7">
        <f>dataset!$L719-T719</f>
        <v>34364</v>
      </c>
      <c r="N719" s="7">
        <f>dataset!$M719/dataset!$L719*100</f>
        <v>30.259589306470357</v>
      </c>
      <c r="O719" s="25">
        <f>dataset!$K719*dataset!$G719</f>
        <v>79200</v>
      </c>
      <c r="P719"/>
      <c r="T719">
        <f>dataset!$K719*dataset!$G719</f>
        <v>79200</v>
      </c>
    </row>
    <row r="720" spans="1:20" x14ac:dyDescent="0.35">
      <c r="A720" s="2">
        <v>45765</v>
      </c>
      <c r="B720">
        <f t="shared" si="23"/>
        <v>18</v>
      </c>
      <c r="C720" t="s">
        <v>26</v>
      </c>
      <c r="D720" t="s">
        <v>16</v>
      </c>
      <c r="E720" t="s">
        <v>12</v>
      </c>
      <c r="F720" t="s">
        <v>23</v>
      </c>
      <c r="G720">
        <v>17</v>
      </c>
      <c r="H720">
        <v>1804</v>
      </c>
      <c r="I720" t="s">
        <v>790</v>
      </c>
      <c r="J720" t="s">
        <v>15</v>
      </c>
      <c r="K720">
        <v>1100</v>
      </c>
      <c r="L720" s="7">
        <f t="shared" si="22"/>
        <v>30668</v>
      </c>
      <c r="M720" s="7">
        <f>dataset!$L720-T720</f>
        <v>11968</v>
      </c>
      <c r="N720" s="7">
        <f>dataset!$M720/dataset!$L720*100</f>
        <v>39.024390243902438</v>
      </c>
      <c r="O720" s="25">
        <f>dataset!$K720*dataset!$G720</f>
        <v>18700</v>
      </c>
      <c r="P720"/>
      <c r="T720">
        <f>dataset!$K720*dataset!$G720</f>
        <v>18700</v>
      </c>
    </row>
    <row r="721" spans="1:20" x14ac:dyDescent="0.35">
      <c r="A721" s="2">
        <v>45798</v>
      </c>
      <c r="B721">
        <f t="shared" si="23"/>
        <v>21</v>
      </c>
      <c r="C721" t="s">
        <v>20</v>
      </c>
      <c r="D721" t="s">
        <v>11</v>
      </c>
      <c r="E721" t="s">
        <v>22</v>
      </c>
      <c r="F721" t="s">
        <v>40</v>
      </c>
      <c r="G721">
        <v>42</v>
      </c>
      <c r="H721">
        <v>1554</v>
      </c>
      <c r="I721" t="s">
        <v>791</v>
      </c>
      <c r="J721" t="s">
        <v>15</v>
      </c>
      <c r="K721">
        <v>900</v>
      </c>
      <c r="L721" s="7">
        <f t="shared" si="22"/>
        <v>65268</v>
      </c>
      <c r="M721" s="7">
        <f>dataset!$L721-T721</f>
        <v>27468</v>
      </c>
      <c r="N721" s="7">
        <f>dataset!$M721/dataset!$L721*100</f>
        <v>42.084942084942085</v>
      </c>
      <c r="O721" s="25">
        <f>dataset!$K721*dataset!$G721</f>
        <v>37800</v>
      </c>
      <c r="P721"/>
      <c r="T721">
        <f>dataset!$K721*dataset!$G721</f>
        <v>37800</v>
      </c>
    </row>
    <row r="722" spans="1:20" x14ac:dyDescent="0.35">
      <c r="A722" s="2">
        <v>45806</v>
      </c>
      <c r="B722">
        <f t="shared" si="23"/>
        <v>29</v>
      </c>
      <c r="C722" t="s">
        <v>20</v>
      </c>
      <c r="D722" t="s">
        <v>66</v>
      </c>
      <c r="E722" t="s">
        <v>54</v>
      </c>
      <c r="F722" t="s">
        <v>31</v>
      </c>
      <c r="G722">
        <v>25</v>
      </c>
      <c r="H722">
        <v>1150</v>
      </c>
      <c r="I722" t="s">
        <v>792</v>
      </c>
      <c r="J722" t="s">
        <v>25</v>
      </c>
      <c r="K722">
        <v>700</v>
      </c>
      <c r="L722" s="7">
        <f t="shared" si="22"/>
        <v>28750</v>
      </c>
      <c r="M722" s="7">
        <f>dataset!$L722-T722</f>
        <v>11250</v>
      </c>
      <c r="N722" s="7">
        <f>dataset!$M722/dataset!$L722*100</f>
        <v>39.130434782608695</v>
      </c>
      <c r="O722" s="25">
        <f>dataset!$K722*dataset!$G722</f>
        <v>17500</v>
      </c>
      <c r="P722"/>
      <c r="T722">
        <f>dataset!$K722*dataset!$G722</f>
        <v>17500</v>
      </c>
    </row>
    <row r="723" spans="1:20" x14ac:dyDescent="0.35">
      <c r="A723" s="2">
        <v>45783</v>
      </c>
      <c r="B723">
        <f t="shared" si="23"/>
        <v>6</v>
      </c>
      <c r="C723" t="s">
        <v>10</v>
      </c>
      <c r="D723" t="s">
        <v>46</v>
      </c>
      <c r="E723" t="s">
        <v>30</v>
      </c>
      <c r="F723" t="s">
        <v>18</v>
      </c>
      <c r="G723">
        <v>40</v>
      </c>
      <c r="H723">
        <v>2359</v>
      </c>
      <c r="I723" t="s">
        <v>793</v>
      </c>
      <c r="J723" t="s">
        <v>15</v>
      </c>
      <c r="K723">
        <v>1750</v>
      </c>
      <c r="L723" s="7">
        <f t="shared" si="22"/>
        <v>94360</v>
      </c>
      <c r="M723" s="7">
        <f>dataset!$L723-T723</f>
        <v>24360</v>
      </c>
      <c r="N723" s="7">
        <f>dataset!$M723/dataset!$L723*100</f>
        <v>25.816023738872403</v>
      </c>
      <c r="O723" s="25">
        <f>dataset!$K723*dataset!$G723</f>
        <v>70000</v>
      </c>
      <c r="P723"/>
      <c r="T723">
        <f>dataset!$K723*dataset!$G723</f>
        <v>70000</v>
      </c>
    </row>
    <row r="724" spans="1:20" x14ac:dyDescent="0.35">
      <c r="A724" s="2">
        <v>45775</v>
      </c>
      <c r="B724">
        <f t="shared" si="23"/>
        <v>28</v>
      </c>
      <c r="C724" t="s">
        <v>35</v>
      </c>
      <c r="D724" t="s">
        <v>21</v>
      </c>
      <c r="E724" t="s">
        <v>30</v>
      </c>
      <c r="F724" t="s">
        <v>37</v>
      </c>
      <c r="G724">
        <v>23</v>
      </c>
      <c r="H724">
        <v>1987</v>
      </c>
      <c r="I724" t="s">
        <v>119</v>
      </c>
      <c r="J724" t="s">
        <v>15</v>
      </c>
      <c r="K724">
        <v>1400</v>
      </c>
      <c r="L724" s="7">
        <f t="shared" si="22"/>
        <v>45701</v>
      </c>
      <c r="M724" s="7">
        <f>dataset!$L724-T724</f>
        <v>13501</v>
      </c>
      <c r="N724" s="7">
        <f>dataset!$M724/dataset!$L724*100</f>
        <v>29.542023150478109</v>
      </c>
      <c r="O724" s="25">
        <f>dataset!$K724*dataset!$G724</f>
        <v>32200</v>
      </c>
      <c r="P724"/>
      <c r="T724">
        <f>dataset!$K724*dataset!$G724</f>
        <v>32200</v>
      </c>
    </row>
    <row r="725" spans="1:20" x14ac:dyDescent="0.35">
      <c r="A725" s="2">
        <v>45835</v>
      </c>
      <c r="B725">
        <f t="shared" si="23"/>
        <v>27</v>
      </c>
      <c r="C725" t="s">
        <v>29</v>
      </c>
      <c r="D725" t="s">
        <v>36</v>
      </c>
      <c r="E725" t="s">
        <v>42</v>
      </c>
      <c r="F725" t="s">
        <v>52</v>
      </c>
      <c r="G725">
        <v>15</v>
      </c>
      <c r="H725">
        <v>835</v>
      </c>
      <c r="I725" t="s">
        <v>794</v>
      </c>
      <c r="J725" t="s">
        <v>15</v>
      </c>
      <c r="K725">
        <v>650</v>
      </c>
      <c r="L725" s="7">
        <f t="shared" si="22"/>
        <v>12525</v>
      </c>
      <c r="M725" s="7">
        <f>dataset!$L725-T725</f>
        <v>2775</v>
      </c>
      <c r="N725" s="7">
        <f>dataset!$M725/dataset!$L725*100</f>
        <v>22.155688622754489</v>
      </c>
      <c r="O725" s="25">
        <f>dataset!$K725*dataset!$G725</f>
        <v>9750</v>
      </c>
      <c r="P725"/>
      <c r="T725">
        <f>dataset!$K725*dataset!$G725</f>
        <v>9750</v>
      </c>
    </row>
    <row r="726" spans="1:20" x14ac:dyDescent="0.35">
      <c r="A726" s="2">
        <v>45762</v>
      </c>
      <c r="B726">
        <f t="shared" si="23"/>
        <v>15</v>
      </c>
      <c r="C726" t="s">
        <v>29</v>
      </c>
      <c r="D726" t="s">
        <v>16</v>
      </c>
      <c r="E726" t="s">
        <v>67</v>
      </c>
      <c r="F726" t="s">
        <v>23</v>
      </c>
      <c r="G726">
        <v>34</v>
      </c>
      <c r="H726">
        <v>1771</v>
      </c>
      <c r="I726" t="s">
        <v>795</v>
      </c>
      <c r="J726" t="s">
        <v>15</v>
      </c>
      <c r="K726">
        <v>1250</v>
      </c>
      <c r="L726" s="7">
        <f t="shared" si="22"/>
        <v>60214</v>
      </c>
      <c r="M726" s="7">
        <f>dataset!$L726-T726</f>
        <v>17714</v>
      </c>
      <c r="N726" s="7">
        <f>dataset!$M726/dataset!$L726*100</f>
        <v>29.418407679277241</v>
      </c>
      <c r="O726" s="25">
        <f>dataset!$K726*dataset!$G726</f>
        <v>42500</v>
      </c>
      <c r="P726"/>
      <c r="T726">
        <f>dataset!$K726*dataset!$G726</f>
        <v>42500</v>
      </c>
    </row>
    <row r="727" spans="1:20" x14ac:dyDescent="0.35">
      <c r="A727" s="2">
        <v>45827</v>
      </c>
      <c r="B727">
        <f t="shared" si="23"/>
        <v>19</v>
      </c>
      <c r="C727" t="s">
        <v>20</v>
      </c>
      <c r="D727" t="s">
        <v>33</v>
      </c>
      <c r="E727" t="s">
        <v>64</v>
      </c>
      <c r="F727" t="s">
        <v>52</v>
      </c>
      <c r="G727">
        <v>29</v>
      </c>
      <c r="H727">
        <v>2249</v>
      </c>
      <c r="I727" t="s">
        <v>796</v>
      </c>
      <c r="J727" t="s">
        <v>15</v>
      </c>
      <c r="K727">
        <v>1650</v>
      </c>
      <c r="L727" s="7">
        <f t="shared" si="22"/>
        <v>65221</v>
      </c>
      <c r="M727" s="7">
        <f>dataset!$L727-T727</f>
        <v>17371</v>
      </c>
      <c r="N727" s="7">
        <f>dataset!$M727/dataset!$L727*100</f>
        <v>26.634059582036464</v>
      </c>
      <c r="O727" s="25">
        <f>dataset!$K727*dataset!$G727</f>
        <v>47850</v>
      </c>
      <c r="P727"/>
      <c r="T727">
        <f>dataset!$K727*dataset!$G727</f>
        <v>47850</v>
      </c>
    </row>
    <row r="728" spans="1:20" x14ac:dyDescent="0.35">
      <c r="A728" s="2">
        <v>45833</v>
      </c>
      <c r="B728">
        <f t="shared" si="23"/>
        <v>25</v>
      </c>
      <c r="C728" t="s">
        <v>26</v>
      </c>
      <c r="D728" t="s">
        <v>27</v>
      </c>
      <c r="E728" t="s">
        <v>75</v>
      </c>
      <c r="F728" t="s">
        <v>37</v>
      </c>
      <c r="G728">
        <v>13</v>
      </c>
      <c r="H728">
        <v>2778</v>
      </c>
      <c r="I728" t="s">
        <v>797</v>
      </c>
      <c r="J728" t="s">
        <v>15</v>
      </c>
      <c r="K728">
        <v>2300</v>
      </c>
      <c r="L728" s="7">
        <f t="shared" si="22"/>
        <v>36114</v>
      </c>
      <c r="M728" s="7">
        <f>dataset!$L728-T728</f>
        <v>6214</v>
      </c>
      <c r="N728" s="7">
        <f>dataset!$M728/dataset!$L728*100</f>
        <v>17.206623470122391</v>
      </c>
      <c r="O728" s="25">
        <f>dataset!$K728*dataset!$G728</f>
        <v>29900</v>
      </c>
      <c r="P728"/>
      <c r="T728">
        <f>dataset!$K728*dataset!$G728</f>
        <v>29900</v>
      </c>
    </row>
    <row r="729" spans="1:20" x14ac:dyDescent="0.35">
      <c r="A729" s="2">
        <v>45780</v>
      </c>
      <c r="B729">
        <f t="shared" si="23"/>
        <v>3</v>
      </c>
      <c r="C729" t="s">
        <v>35</v>
      </c>
      <c r="D729" t="s">
        <v>46</v>
      </c>
      <c r="E729" t="s">
        <v>12</v>
      </c>
      <c r="F729" t="s">
        <v>40</v>
      </c>
      <c r="G729">
        <v>27</v>
      </c>
      <c r="H729">
        <v>807</v>
      </c>
      <c r="I729" t="s">
        <v>798</v>
      </c>
      <c r="J729" t="s">
        <v>25</v>
      </c>
      <c r="K729">
        <v>700</v>
      </c>
      <c r="L729" s="7">
        <f t="shared" si="22"/>
        <v>21789</v>
      </c>
      <c r="M729" s="7">
        <f>dataset!$L729-T729</f>
        <v>2889</v>
      </c>
      <c r="N729" s="7">
        <f>dataset!$M729/dataset!$L729*100</f>
        <v>13.258983890954152</v>
      </c>
      <c r="O729" s="25">
        <f>dataset!$K729*dataset!$G729</f>
        <v>18900</v>
      </c>
      <c r="P729"/>
      <c r="T729">
        <f>dataset!$K729*dataset!$G729</f>
        <v>18900</v>
      </c>
    </row>
    <row r="730" spans="1:20" x14ac:dyDescent="0.35">
      <c r="A730" s="2">
        <v>45809</v>
      </c>
      <c r="B730">
        <f t="shared" si="23"/>
        <v>1</v>
      </c>
      <c r="C730" t="s">
        <v>10</v>
      </c>
      <c r="D730" t="s">
        <v>33</v>
      </c>
      <c r="E730" t="s">
        <v>64</v>
      </c>
      <c r="F730" t="s">
        <v>37</v>
      </c>
      <c r="G730">
        <v>48</v>
      </c>
      <c r="H730">
        <v>1302</v>
      </c>
      <c r="I730" t="s">
        <v>799</v>
      </c>
      <c r="J730" t="s">
        <v>15</v>
      </c>
      <c r="K730">
        <v>900</v>
      </c>
      <c r="L730" s="7">
        <f t="shared" si="22"/>
        <v>62496</v>
      </c>
      <c r="M730" s="7">
        <f>dataset!$L730-T730</f>
        <v>19296</v>
      </c>
      <c r="N730" s="7">
        <f>dataset!$M730/dataset!$L730*100</f>
        <v>30.875576036866359</v>
      </c>
      <c r="O730" s="25">
        <f>dataset!$K730*dataset!$G730</f>
        <v>43200</v>
      </c>
      <c r="P730"/>
      <c r="T730">
        <f>dataset!$K730*dataset!$G730</f>
        <v>43200</v>
      </c>
    </row>
    <row r="731" spans="1:20" x14ac:dyDescent="0.35">
      <c r="A731" s="2">
        <v>45775</v>
      </c>
      <c r="B731">
        <f t="shared" si="23"/>
        <v>28</v>
      </c>
      <c r="C731" t="s">
        <v>20</v>
      </c>
      <c r="D731" t="s">
        <v>36</v>
      </c>
      <c r="E731" t="s">
        <v>75</v>
      </c>
      <c r="F731" t="s">
        <v>18</v>
      </c>
      <c r="G731">
        <v>35</v>
      </c>
      <c r="H731">
        <v>1757</v>
      </c>
      <c r="I731" t="s">
        <v>800</v>
      </c>
      <c r="J731" t="s">
        <v>15</v>
      </c>
      <c r="K731">
        <v>950</v>
      </c>
      <c r="L731" s="7">
        <f t="shared" si="22"/>
        <v>61495</v>
      </c>
      <c r="M731" s="7">
        <f>dataset!$L731-T731</f>
        <v>28245</v>
      </c>
      <c r="N731" s="7">
        <f>dataset!$M731/dataset!$L731*100</f>
        <v>45.930563460443942</v>
      </c>
      <c r="O731" s="25">
        <f>dataset!$K731*dataset!$G731</f>
        <v>33250</v>
      </c>
      <c r="P731"/>
      <c r="T731">
        <f>dataset!$K731*dataset!$G731</f>
        <v>33250</v>
      </c>
    </row>
    <row r="732" spans="1:20" x14ac:dyDescent="0.35">
      <c r="A732" s="2">
        <v>45772</v>
      </c>
      <c r="B732">
        <f t="shared" si="23"/>
        <v>25</v>
      </c>
      <c r="C732" t="s">
        <v>29</v>
      </c>
      <c r="D732" t="s">
        <v>36</v>
      </c>
      <c r="E732" t="s">
        <v>42</v>
      </c>
      <c r="F732" t="s">
        <v>56</v>
      </c>
      <c r="G732">
        <v>17</v>
      </c>
      <c r="H732">
        <v>1352</v>
      </c>
      <c r="I732" t="s">
        <v>801</v>
      </c>
      <c r="J732" t="s">
        <v>15</v>
      </c>
      <c r="K732">
        <v>1000</v>
      </c>
      <c r="L732" s="7">
        <f t="shared" si="22"/>
        <v>22984</v>
      </c>
      <c r="M732" s="7">
        <f>dataset!$L732-T732</f>
        <v>5984</v>
      </c>
      <c r="N732" s="7">
        <f>dataset!$M732/dataset!$L732*100</f>
        <v>26.035502958579883</v>
      </c>
      <c r="O732" s="25">
        <f>dataset!$K732*dataset!$G732</f>
        <v>17000</v>
      </c>
      <c r="P732"/>
      <c r="T732">
        <f>dataset!$K732*dataset!$G732</f>
        <v>17000</v>
      </c>
    </row>
    <row r="733" spans="1:20" x14ac:dyDescent="0.35">
      <c r="A733" s="2">
        <v>45768</v>
      </c>
      <c r="B733">
        <f t="shared" si="23"/>
        <v>21</v>
      </c>
      <c r="C733" t="s">
        <v>20</v>
      </c>
      <c r="D733" t="s">
        <v>21</v>
      </c>
      <c r="E733" t="s">
        <v>54</v>
      </c>
      <c r="F733" t="s">
        <v>59</v>
      </c>
      <c r="G733">
        <v>23</v>
      </c>
      <c r="H733">
        <v>412</v>
      </c>
      <c r="I733" t="s">
        <v>802</v>
      </c>
      <c r="J733" t="s">
        <v>15</v>
      </c>
      <c r="K733">
        <v>250</v>
      </c>
      <c r="L733" s="7">
        <f t="shared" si="22"/>
        <v>9476</v>
      </c>
      <c r="M733" s="7">
        <f>dataset!$L733-T733</f>
        <v>3726</v>
      </c>
      <c r="N733" s="7">
        <f>dataset!$M733/dataset!$L733*100</f>
        <v>39.320388349514559</v>
      </c>
      <c r="O733" s="25">
        <f>dataset!$K733*dataset!$G733</f>
        <v>5750</v>
      </c>
      <c r="P733"/>
      <c r="T733">
        <f>dataset!$K733*dataset!$G733</f>
        <v>5750</v>
      </c>
    </row>
    <row r="734" spans="1:20" x14ac:dyDescent="0.35">
      <c r="A734" s="2">
        <v>45782</v>
      </c>
      <c r="B734">
        <f t="shared" si="23"/>
        <v>5</v>
      </c>
      <c r="C734" t="s">
        <v>35</v>
      </c>
      <c r="D734" t="s">
        <v>36</v>
      </c>
      <c r="E734" t="s">
        <v>54</v>
      </c>
      <c r="F734" t="s">
        <v>40</v>
      </c>
      <c r="G734">
        <v>28</v>
      </c>
      <c r="H734">
        <v>1092</v>
      </c>
      <c r="I734" t="s">
        <v>803</v>
      </c>
      <c r="J734" t="s">
        <v>15</v>
      </c>
      <c r="K734">
        <v>800</v>
      </c>
      <c r="L734" s="7">
        <f t="shared" si="22"/>
        <v>30576</v>
      </c>
      <c r="M734" s="7">
        <f>dataset!$L734-T734</f>
        <v>8176</v>
      </c>
      <c r="N734" s="7">
        <f>dataset!$M734/dataset!$L734*100</f>
        <v>26.739926739926741</v>
      </c>
      <c r="O734" s="25">
        <f>dataset!$K734*dataset!$G734</f>
        <v>22400</v>
      </c>
      <c r="P734"/>
      <c r="T734">
        <f>dataset!$K734*dataset!$G734</f>
        <v>22400</v>
      </c>
    </row>
    <row r="735" spans="1:20" x14ac:dyDescent="0.35">
      <c r="A735" s="2">
        <v>45765</v>
      </c>
      <c r="B735">
        <f t="shared" si="23"/>
        <v>18</v>
      </c>
      <c r="C735" t="s">
        <v>35</v>
      </c>
      <c r="D735" t="s">
        <v>16</v>
      </c>
      <c r="E735" t="s">
        <v>12</v>
      </c>
      <c r="F735" t="s">
        <v>40</v>
      </c>
      <c r="G735">
        <v>39</v>
      </c>
      <c r="H735">
        <v>1366</v>
      </c>
      <c r="I735" t="s">
        <v>120</v>
      </c>
      <c r="J735" t="s">
        <v>25</v>
      </c>
      <c r="K735">
        <v>950</v>
      </c>
      <c r="L735" s="7">
        <f t="shared" si="22"/>
        <v>53274</v>
      </c>
      <c r="M735" s="7">
        <f>dataset!$L735-T735</f>
        <v>16224</v>
      </c>
      <c r="N735" s="7">
        <f>dataset!$M735/dataset!$L735*100</f>
        <v>30.453879941434849</v>
      </c>
      <c r="O735" s="25">
        <f>dataset!$K735*dataset!$G735</f>
        <v>37050</v>
      </c>
      <c r="P735"/>
      <c r="T735">
        <f>dataset!$K735*dataset!$G735</f>
        <v>37050</v>
      </c>
    </row>
    <row r="736" spans="1:20" x14ac:dyDescent="0.35">
      <c r="A736" s="2">
        <v>45752</v>
      </c>
      <c r="B736">
        <f t="shared" si="23"/>
        <v>5</v>
      </c>
      <c r="C736" t="s">
        <v>26</v>
      </c>
      <c r="D736" t="s">
        <v>46</v>
      </c>
      <c r="E736" t="s">
        <v>67</v>
      </c>
      <c r="F736" t="s">
        <v>13</v>
      </c>
      <c r="G736">
        <v>21</v>
      </c>
      <c r="H736">
        <v>2971</v>
      </c>
      <c r="I736" t="s">
        <v>804</v>
      </c>
      <c r="J736" t="s">
        <v>15</v>
      </c>
      <c r="K736">
        <v>1750</v>
      </c>
      <c r="L736" s="7">
        <f t="shared" si="22"/>
        <v>62391</v>
      </c>
      <c r="M736" s="7">
        <f>dataset!$L736-T736</f>
        <v>25641</v>
      </c>
      <c r="N736" s="7">
        <f>dataset!$M736/dataset!$L736*100</f>
        <v>41.097273645237294</v>
      </c>
      <c r="O736" s="25">
        <f>dataset!$K736*dataset!$G736</f>
        <v>36750</v>
      </c>
      <c r="P736"/>
      <c r="T736">
        <f>dataset!$K736*dataset!$G736</f>
        <v>36750</v>
      </c>
    </row>
    <row r="737" spans="1:20" x14ac:dyDescent="0.35">
      <c r="A737" s="2">
        <v>45811</v>
      </c>
      <c r="B737">
        <f t="shared" si="23"/>
        <v>3</v>
      </c>
      <c r="C737" t="s">
        <v>20</v>
      </c>
      <c r="D737" t="s">
        <v>33</v>
      </c>
      <c r="E737" t="s">
        <v>12</v>
      </c>
      <c r="F737" t="s">
        <v>31</v>
      </c>
      <c r="G737">
        <v>27</v>
      </c>
      <c r="H737">
        <v>1792</v>
      </c>
      <c r="I737" t="s">
        <v>805</v>
      </c>
      <c r="J737" t="s">
        <v>15</v>
      </c>
      <c r="K737">
        <v>1150</v>
      </c>
      <c r="L737" s="7">
        <f t="shared" si="22"/>
        <v>48384</v>
      </c>
      <c r="M737" s="7">
        <f>dataset!$L737-T737</f>
        <v>17334</v>
      </c>
      <c r="N737" s="7">
        <f>dataset!$M737/dataset!$L737*100</f>
        <v>35.825892857142854</v>
      </c>
      <c r="O737" s="25">
        <f>dataset!$K737*dataset!$G737</f>
        <v>31050</v>
      </c>
      <c r="P737"/>
      <c r="T737">
        <f>dataset!$K737*dataset!$G737</f>
        <v>31050</v>
      </c>
    </row>
    <row r="738" spans="1:20" x14ac:dyDescent="0.35">
      <c r="A738" s="2">
        <v>45791</v>
      </c>
      <c r="B738">
        <f t="shared" si="23"/>
        <v>14</v>
      </c>
      <c r="C738" t="s">
        <v>20</v>
      </c>
      <c r="D738" t="s">
        <v>46</v>
      </c>
      <c r="E738" t="s">
        <v>42</v>
      </c>
      <c r="F738" t="s">
        <v>59</v>
      </c>
      <c r="G738">
        <v>46</v>
      </c>
      <c r="H738">
        <v>1266</v>
      </c>
      <c r="I738" t="s">
        <v>806</v>
      </c>
      <c r="J738" t="s">
        <v>25</v>
      </c>
      <c r="K738">
        <v>1150</v>
      </c>
      <c r="L738" s="7">
        <f t="shared" si="22"/>
        <v>58236</v>
      </c>
      <c r="M738" s="7">
        <f>dataset!$L738-T738</f>
        <v>5336</v>
      </c>
      <c r="N738" s="7">
        <f>dataset!$M738/dataset!$L738*100</f>
        <v>9.1627172195892577</v>
      </c>
      <c r="O738" s="25">
        <f>dataset!$K738*dataset!$G738</f>
        <v>52900</v>
      </c>
      <c r="P738"/>
      <c r="T738">
        <f>dataset!$K738*dataset!$G738</f>
        <v>52900</v>
      </c>
    </row>
    <row r="739" spans="1:20" x14ac:dyDescent="0.35">
      <c r="A739" s="2">
        <v>45776</v>
      </c>
      <c r="B739">
        <f t="shared" si="23"/>
        <v>29</v>
      </c>
      <c r="C739" t="s">
        <v>20</v>
      </c>
      <c r="D739" t="s">
        <v>66</v>
      </c>
      <c r="E739" t="s">
        <v>39</v>
      </c>
      <c r="F739" t="s">
        <v>47</v>
      </c>
      <c r="G739">
        <v>32</v>
      </c>
      <c r="H739">
        <v>643</v>
      </c>
      <c r="I739" t="s">
        <v>807</v>
      </c>
      <c r="J739" t="s">
        <v>15</v>
      </c>
      <c r="K739">
        <v>450</v>
      </c>
      <c r="L739" s="7">
        <f t="shared" si="22"/>
        <v>20576</v>
      </c>
      <c r="M739" s="7">
        <f>dataset!$L739-T739</f>
        <v>6176</v>
      </c>
      <c r="N739" s="7">
        <f>dataset!$M739/dataset!$L739*100</f>
        <v>30.015552099533437</v>
      </c>
      <c r="O739" s="25">
        <f>dataset!$K739*dataset!$G739</f>
        <v>14400</v>
      </c>
      <c r="P739"/>
      <c r="T739">
        <f>dataset!$K739*dataset!$G739</f>
        <v>14400</v>
      </c>
    </row>
    <row r="740" spans="1:20" x14ac:dyDescent="0.35">
      <c r="A740" s="2">
        <v>45776</v>
      </c>
      <c r="B740">
        <f t="shared" si="23"/>
        <v>29</v>
      </c>
      <c r="C740" t="s">
        <v>35</v>
      </c>
      <c r="D740" t="s">
        <v>46</v>
      </c>
      <c r="E740" t="s">
        <v>64</v>
      </c>
      <c r="F740" t="s">
        <v>47</v>
      </c>
      <c r="G740">
        <v>31</v>
      </c>
      <c r="H740">
        <v>2319</v>
      </c>
      <c r="I740" t="s">
        <v>808</v>
      </c>
      <c r="J740" t="s">
        <v>25</v>
      </c>
      <c r="K740">
        <v>1200</v>
      </c>
      <c r="L740" s="7">
        <f t="shared" si="22"/>
        <v>71889</v>
      </c>
      <c r="M740" s="7">
        <f>dataset!$L740-T740</f>
        <v>34689</v>
      </c>
      <c r="N740" s="7">
        <f>dataset!$M740/dataset!$L740*100</f>
        <v>48.253557567917206</v>
      </c>
      <c r="O740" s="25">
        <f>dataset!$K740*dataset!$G740</f>
        <v>37200</v>
      </c>
      <c r="P740"/>
      <c r="T740">
        <f>dataset!$K740*dataset!$G740</f>
        <v>37200</v>
      </c>
    </row>
    <row r="741" spans="1:20" x14ac:dyDescent="0.35">
      <c r="A741" s="2">
        <v>45803</v>
      </c>
      <c r="B741">
        <f t="shared" si="23"/>
        <v>26</v>
      </c>
      <c r="C741" t="s">
        <v>35</v>
      </c>
      <c r="D741" t="s">
        <v>16</v>
      </c>
      <c r="E741" t="s">
        <v>30</v>
      </c>
      <c r="F741" t="s">
        <v>31</v>
      </c>
      <c r="G741">
        <v>26</v>
      </c>
      <c r="H741">
        <v>830</v>
      </c>
      <c r="I741" t="s">
        <v>809</v>
      </c>
      <c r="J741" t="s">
        <v>15</v>
      </c>
      <c r="K741">
        <v>650</v>
      </c>
      <c r="L741" s="7">
        <f t="shared" si="22"/>
        <v>21580</v>
      </c>
      <c r="M741" s="7">
        <f>dataset!$L741-T741</f>
        <v>4680</v>
      </c>
      <c r="N741" s="7">
        <f>dataset!$M741/dataset!$L741*100</f>
        <v>21.686746987951807</v>
      </c>
      <c r="O741" s="25">
        <f>dataset!$K741*dataset!$G741</f>
        <v>16900</v>
      </c>
      <c r="P741"/>
      <c r="T741">
        <f>dataset!$K741*dataset!$G741</f>
        <v>16900</v>
      </c>
    </row>
    <row r="742" spans="1:20" x14ac:dyDescent="0.35">
      <c r="A742" s="2">
        <v>45799</v>
      </c>
      <c r="B742">
        <f t="shared" si="23"/>
        <v>22</v>
      </c>
      <c r="C742" t="s">
        <v>35</v>
      </c>
      <c r="D742" t="s">
        <v>21</v>
      </c>
      <c r="E742" t="s">
        <v>54</v>
      </c>
      <c r="F742" t="s">
        <v>13</v>
      </c>
      <c r="G742">
        <v>13</v>
      </c>
      <c r="H742">
        <v>2597</v>
      </c>
      <c r="I742" t="s">
        <v>810</v>
      </c>
      <c r="J742" t="s">
        <v>15</v>
      </c>
      <c r="K742">
        <v>1750</v>
      </c>
      <c r="L742" s="7">
        <f t="shared" si="22"/>
        <v>33761</v>
      </c>
      <c r="M742" s="7">
        <f>dataset!$L742-T742</f>
        <v>11011</v>
      </c>
      <c r="N742" s="7">
        <f>dataset!$M742/dataset!$L742*100</f>
        <v>32.614555256064691</v>
      </c>
      <c r="O742" s="25">
        <f>dataset!$K742*dataset!$G742</f>
        <v>22750</v>
      </c>
      <c r="P742"/>
      <c r="T742">
        <f>dataset!$K742*dataset!$G742</f>
        <v>22750</v>
      </c>
    </row>
    <row r="743" spans="1:20" x14ac:dyDescent="0.35">
      <c r="A743" s="2">
        <v>45826</v>
      </c>
      <c r="B743">
        <f t="shared" si="23"/>
        <v>18</v>
      </c>
      <c r="C743" t="s">
        <v>29</v>
      </c>
      <c r="D743" t="s">
        <v>27</v>
      </c>
      <c r="E743" t="s">
        <v>12</v>
      </c>
      <c r="F743" t="s">
        <v>40</v>
      </c>
      <c r="G743">
        <v>35</v>
      </c>
      <c r="H743">
        <v>363</v>
      </c>
      <c r="I743" t="s">
        <v>811</v>
      </c>
      <c r="J743" t="s">
        <v>15</v>
      </c>
      <c r="K743">
        <v>300</v>
      </c>
      <c r="L743" s="7">
        <f t="shared" si="22"/>
        <v>12705</v>
      </c>
      <c r="M743" s="7">
        <f>dataset!$L743-T743</f>
        <v>2205</v>
      </c>
      <c r="N743" s="7">
        <f>dataset!$M743/dataset!$L743*100</f>
        <v>17.355371900826448</v>
      </c>
      <c r="O743" s="25">
        <f>dataset!$K743*dataset!$G743</f>
        <v>10500</v>
      </c>
      <c r="P743"/>
      <c r="T743">
        <f>dataset!$K743*dataset!$G743</f>
        <v>10500</v>
      </c>
    </row>
    <row r="744" spans="1:20" x14ac:dyDescent="0.35">
      <c r="A744" s="2">
        <v>45768</v>
      </c>
      <c r="B744">
        <f t="shared" si="23"/>
        <v>21</v>
      </c>
      <c r="C744" t="s">
        <v>35</v>
      </c>
      <c r="D744" t="s">
        <v>33</v>
      </c>
      <c r="E744" t="s">
        <v>64</v>
      </c>
      <c r="F744" t="s">
        <v>18</v>
      </c>
      <c r="G744">
        <v>46</v>
      </c>
      <c r="H744">
        <v>2774</v>
      </c>
      <c r="I744" t="s">
        <v>812</v>
      </c>
      <c r="J744" t="s">
        <v>15</v>
      </c>
      <c r="K744">
        <v>2250</v>
      </c>
      <c r="L744" s="7">
        <f t="shared" si="22"/>
        <v>127604</v>
      </c>
      <c r="M744" s="7">
        <f>dataset!$L744-T744</f>
        <v>24104</v>
      </c>
      <c r="N744" s="7">
        <f>dataset!$M744/dataset!$L744*100</f>
        <v>18.889689978370583</v>
      </c>
      <c r="O744" s="25">
        <f>dataset!$K744*dataset!$G744</f>
        <v>103500</v>
      </c>
      <c r="P744"/>
      <c r="T744">
        <f>dataset!$K744*dataset!$G744</f>
        <v>103500</v>
      </c>
    </row>
    <row r="745" spans="1:20" x14ac:dyDescent="0.35">
      <c r="A745" s="2">
        <v>45788</v>
      </c>
      <c r="B745">
        <f t="shared" si="23"/>
        <v>11</v>
      </c>
      <c r="C745" t="s">
        <v>20</v>
      </c>
      <c r="D745" t="s">
        <v>21</v>
      </c>
      <c r="E745" t="s">
        <v>42</v>
      </c>
      <c r="F745" t="s">
        <v>52</v>
      </c>
      <c r="G745">
        <v>43</v>
      </c>
      <c r="H745">
        <v>554</v>
      </c>
      <c r="I745" t="s">
        <v>813</v>
      </c>
      <c r="J745" t="s">
        <v>15</v>
      </c>
      <c r="K745">
        <v>350</v>
      </c>
      <c r="L745" s="7">
        <f t="shared" si="22"/>
        <v>23822</v>
      </c>
      <c r="M745" s="7">
        <f>dataset!$L745-T745</f>
        <v>8772</v>
      </c>
      <c r="N745" s="7">
        <f>dataset!$M745/dataset!$L745*100</f>
        <v>36.823104693140799</v>
      </c>
      <c r="O745" s="25">
        <f>dataset!$K745*dataset!$G745</f>
        <v>15050</v>
      </c>
      <c r="P745"/>
      <c r="T745">
        <f>dataset!$K745*dataset!$G745</f>
        <v>15050</v>
      </c>
    </row>
    <row r="746" spans="1:20" x14ac:dyDescent="0.35">
      <c r="A746" s="2">
        <v>45781</v>
      </c>
      <c r="B746">
        <f t="shared" si="23"/>
        <v>4</v>
      </c>
      <c r="C746" t="s">
        <v>26</v>
      </c>
      <c r="D746" t="s">
        <v>21</v>
      </c>
      <c r="E746" t="s">
        <v>30</v>
      </c>
      <c r="F746" t="s">
        <v>23</v>
      </c>
      <c r="G746">
        <v>16</v>
      </c>
      <c r="H746">
        <v>1507</v>
      </c>
      <c r="I746" t="s">
        <v>121</v>
      </c>
      <c r="J746" t="s">
        <v>25</v>
      </c>
      <c r="K746">
        <v>900</v>
      </c>
      <c r="L746" s="7">
        <f t="shared" si="22"/>
        <v>24112</v>
      </c>
      <c r="M746" s="7">
        <f>dataset!$L746-T746</f>
        <v>9712</v>
      </c>
      <c r="N746" s="7">
        <f>dataset!$M746/dataset!$L746*100</f>
        <v>40.278699402786991</v>
      </c>
      <c r="O746" s="25">
        <f>dataset!$K746*dataset!$G746</f>
        <v>14400</v>
      </c>
      <c r="P746"/>
      <c r="T746">
        <f>dataset!$K746*dataset!$G746</f>
        <v>14400</v>
      </c>
    </row>
    <row r="747" spans="1:20" x14ac:dyDescent="0.35">
      <c r="A747" s="2">
        <v>45822</v>
      </c>
      <c r="B747">
        <f t="shared" si="23"/>
        <v>14</v>
      </c>
      <c r="C747" t="s">
        <v>35</v>
      </c>
      <c r="D747" t="s">
        <v>11</v>
      </c>
      <c r="E747" t="s">
        <v>64</v>
      </c>
      <c r="F747" t="s">
        <v>56</v>
      </c>
      <c r="G747">
        <v>50</v>
      </c>
      <c r="H747">
        <v>966</v>
      </c>
      <c r="I747" t="s">
        <v>814</v>
      </c>
      <c r="J747" t="s">
        <v>15</v>
      </c>
      <c r="K747">
        <v>600</v>
      </c>
      <c r="L747" s="7">
        <f t="shared" si="22"/>
        <v>48300</v>
      </c>
      <c r="M747" s="7">
        <f>dataset!$L747-T747</f>
        <v>18300</v>
      </c>
      <c r="N747" s="7">
        <f>dataset!$M747/dataset!$L747*100</f>
        <v>37.888198757763973</v>
      </c>
      <c r="O747" s="25">
        <f>dataset!$K747*dataset!$G747</f>
        <v>30000</v>
      </c>
      <c r="P747"/>
      <c r="T747">
        <f>dataset!$K747*dataset!$G747</f>
        <v>30000</v>
      </c>
    </row>
    <row r="748" spans="1:20" x14ac:dyDescent="0.35">
      <c r="A748" s="2">
        <v>45796</v>
      </c>
      <c r="B748">
        <f t="shared" si="23"/>
        <v>19</v>
      </c>
      <c r="C748" t="s">
        <v>29</v>
      </c>
      <c r="D748" t="s">
        <v>27</v>
      </c>
      <c r="E748" t="s">
        <v>67</v>
      </c>
      <c r="F748" t="s">
        <v>47</v>
      </c>
      <c r="G748">
        <v>44</v>
      </c>
      <c r="H748">
        <v>814</v>
      </c>
      <c r="I748" t="s">
        <v>815</v>
      </c>
      <c r="J748" t="s">
        <v>25</v>
      </c>
      <c r="K748">
        <v>550</v>
      </c>
      <c r="L748" s="7">
        <f t="shared" si="22"/>
        <v>35816</v>
      </c>
      <c r="M748" s="7">
        <f>dataset!$L748-T748</f>
        <v>11616</v>
      </c>
      <c r="N748" s="7">
        <f>dataset!$M748/dataset!$L748*100</f>
        <v>32.432432432432435</v>
      </c>
      <c r="O748" s="25">
        <f>dataset!$K748*dataset!$G748</f>
        <v>24200</v>
      </c>
      <c r="P748"/>
      <c r="T748">
        <f>dataset!$K748*dataset!$G748</f>
        <v>24200</v>
      </c>
    </row>
    <row r="749" spans="1:20" x14ac:dyDescent="0.35">
      <c r="A749" s="2">
        <v>45770</v>
      </c>
      <c r="B749">
        <f t="shared" si="23"/>
        <v>23</v>
      </c>
      <c r="C749" t="s">
        <v>35</v>
      </c>
      <c r="D749" t="s">
        <v>36</v>
      </c>
      <c r="E749" t="s">
        <v>39</v>
      </c>
      <c r="F749" t="s">
        <v>23</v>
      </c>
      <c r="G749">
        <v>14</v>
      </c>
      <c r="H749">
        <v>383</v>
      </c>
      <c r="I749" t="s">
        <v>816</v>
      </c>
      <c r="J749" t="s">
        <v>25</v>
      </c>
      <c r="K749">
        <v>200</v>
      </c>
      <c r="L749" s="7">
        <f t="shared" si="22"/>
        <v>5362</v>
      </c>
      <c r="M749" s="7">
        <f>dataset!$L749-T749</f>
        <v>2562</v>
      </c>
      <c r="N749" s="7">
        <f>dataset!$M749/dataset!$L749*100</f>
        <v>47.780678851174933</v>
      </c>
      <c r="O749" s="25">
        <f>dataset!$K749*dataset!$G749</f>
        <v>2800</v>
      </c>
      <c r="P749"/>
      <c r="T749">
        <f>dataset!$K749*dataset!$G749</f>
        <v>2800</v>
      </c>
    </row>
    <row r="750" spans="1:20" x14ac:dyDescent="0.35">
      <c r="A750" s="2">
        <v>45772</v>
      </c>
      <c r="B750">
        <f t="shared" si="23"/>
        <v>25</v>
      </c>
      <c r="C750" t="s">
        <v>26</v>
      </c>
      <c r="D750" t="s">
        <v>33</v>
      </c>
      <c r="E750" t="s">
        <v>17</v>
      </c>
      <c r="F750" t="s">
        <v>23</v>
      </c>
      <c r="G750">
        <v>7</v>
      </c>
      <c r="H750">
        <v>2512</v>
      </c>
      <c r="I750" t="s">
        <v>817</v>
      </c>
      <c r="J750" t="s">
        <v>15</v>
      </c>
      <c r="K750">
        <v>2150</v>
      </c>
      <c r="L750" s="7">
        <f t="shared" si="22"/>
        <v>17584</v>
      </c>
      <c r="M750" s="7">
        <f>dataset!$L750-T750</f>
        <v>2534</v>
      </c>
      <c r="N750" s="7">
        <f>dataset!$M750/dataset!$L750*100</f>
        <v>14.410828025477706</v>
      </c>
      <c r="O750" s="25">
        <f>dataset!$K750*dataset!$G750</f>
        <v>15050</v>
      </c>
      <c r="P750"/>
      <c r="T750">
        <f>dataset!$K750*dataset!$G750</f>
        <v>15050</v>
      </c>
    </row>
    <row r="751" spans="1:20" x14ac:dyDescent="0.35">
      <c r="A751" s="2">
        <v>45762</v>
      </c>
      <c r="B751">
        <f t="shared" si="23"/>
        <v>15</v>
      </c>
      <c r="C751" t="s">
        <v>29</v>
      </c>
      <c r="D751" t="s">
        <v>36</v>
      </c>
      <c r="E751" t="s">
        <v>39</v>
      </c>
      <c r="F751" t="s">
        <v>31</v>
      </c>
      <c r="G751">
        <v>42</v>
      </c>
      <c r="H751">
        <v>2701</v>
      </c>
      <c r="I751" t="s">
        <v>818</v>
      </c>
      <c r="J751" t="s">
        <v>25</v>
      </c>
      <c r="K751">
        <v>2250</v>
      </c>
      <c r="L751" s="7">
        <f t="shared" si="22"/>
        <v>113442</v>
      </c>
      <c r="M751" s="7">
        <f>dataset!$L751-T751</f>
        <v>18942</v>
      </c>
      <c r="N751" s="7">
        <f>dataset!$M751/dataset!$L751*100</f>
        <v>16.697519437245465</v>
      </c>
      <c r="O751" s="25">
        <f>dataset!$K751*dataset!$G751</f>
        <v>94500</v>
      </c>
      <c r="P751"/>
      <c r="T751">
        <f>dataset!$K751*dataset!$G751</f>
        <v>94500</v>
      </c>
    </row>
    <row r="752" spans="1:20" x14ac:dyDescent="0.35">
      <c r="A752" s="2">
        <v>45829</v>
      </c>
      <c r="B752">
        <f t="shared" si="23"/>
        <v>21</v>
      </c>
      <c r="C752" t="s">
        <v>29</v>
      </c>
      <c r="D752" t="s">
        <v>16</v>
      </c>
      <c r="E752" t="s">
        <v>12</v>
      </c>
      <c r="F752" t="s">
        <v>13</v>
      </c>
      <c r="G752">
        <v>6</v>
      </c>
      <c r="H752">
        <v>2297</v>
      </c>
      <c r="I752" t="s">
        <v>819</v>
      </c>
      <c r="J752" t="s">
        <v>15</v>
      </c>
      <c r="K752">
        <v>2000</v>
      </c>
      <c r="L752" s="7">
        <f t="shared" si="22"/>
        <v>13782</v>
      </c>
      <c r="M752" s="7">
        <f>dataset!$L752-T752</f>
        <v>1782</v>
      </c>
      <c r="N752" s="7">
        <f>dataset!$M752/dataset!$L752*100</f>
        <v>12.929908576404006</v>
      </c>
      <c r="O752" s="25">
        <f>dataset!$K752*dataset!$G752</f>
        <v>12000</v>
      </c>
      <c r="P752"/>
      <c r="T752">
        <f>dataset!$K752*dataset!$G752</f>
        <v>12000</v>
      </c>
    </row>
    <row r="753" spans="1:20" x14ac:dyDescent="0.35">
      <c r="A753" s="2">
        <v>45775</v>
      </c>
      <c r="B753">
        <f t="shared" si="23"/>
        <v>28</v>
      </c>
      <c r="C753" t="s">
        <v>29</v>
      </c>
      <c r="D753" t="s">
        <v>36</v>
      </c>
      <c r="E753" t="s">
        <v>22</v>
      </c>
      <c r="F753" t="s">
        <v>56</v>
      </c>
      <c r="G753">
        <v>29</v>
      </c>
      <c r="H753">
        <v>535</v>
      </c>
      <c r="I753" t="s">
        <v>820</v>
      </c>
      <c r="J753" t="s">
        <v>25</v>
      </c>
      <c r="K753">
        <v>300</v>
      </c>
      <c r="L753" s="7">
        <f t="shared" si="22"/>
        <v>15515</v>
      </c>
      <c r="M753" s="7">
        <f>dataset!$L753-T753</f>
        <v>6815</v>
      </c>
      <c r="N753" s="7">
        <f>dataset!$M753/dataset!$L753*100</f>
        <v>43.925233644859816</v>
      </c>
      <c r="O753" s="25">
        <f>dataset!$K753*dataset!$G753</f>
        <v>8700</v>
      </c>
      <c r="P753"/>
      <c r="T753">
        <f>dataset!$K753*dataset!$G753</f>
        <v>8700</v>
      </c>
    </row>
    <row r="754" spans="1:20" x14ac:dyDescent="0.35">
      <c r="A754" s="2">
        <v>45804</v>
      </c>
      <c r="B754">
        <f t="shared" si="23"/>
        <v>27</v>
      </c>
      <c r="C754" t="s">
        <v>26</v>
      </c>
      <c r="D754" t="s">
        <v>33</v>
      </c>
      <c r="E754" t="s">
        <v>17</v>
      </c>
      <c r="F754" t="s">
        <v>37</v>
      </c>
      <c r="G754">
        <v>8</v>
      </c>
      <c r="H754">
        <v>2597</v>
      </c>
      <c r="I754" t="s">
        <v>821</v>
      </c>
      <c r="J754" t="s">
        <v>15</v>
      </c>
      <c r="K754">
        <v>2050</v>
      </c>
      <c r="L754" s="7">
        <f t="shared" si="22"/>
        <v>20776</v>
      </c>
      <c r="M754" s="7">
        <f>dataset!$L754-T754</f>
        <v>4376</v>
      </c>
      <c r="N754" s="7">
        <f>dataset!$M754/dataset!$L754*100</f>
        <v>21.062764728532922</v>
      </c>
      <c r="O754" s="25">
        <f>dataset!$K754*dataset!$G754</f>
        <v>16400</v>
      </c>
      <c r="P754"/>
      <c r="T754">
        <f>dataset!$K754*dataset!$G754</f>
        <v>16400</v>
      </c>
    </row>
    <row r="755" spans="1:20" x14ac:dyDescent="0.35">
      <c r="A755" s="2">
        <v>45759</v>
      </c>
      <c r="B755">
        <f t="shared" si="23"/>
        <v>12</v>
      </c>
      <c r="C755" t="s">
        <v>26</v>
      </c>
      <c r="D755" t="s">
        <v>11</v>
      </c>
      <c r="E755" t="s">
        <v>17</v>
      </c>
      <c r="F755" t="s">
        <v>13</v>
      </c>
      <c r="G755">
        <v>18</v>
      </c>
      <c r="H755">
        <v>2033</v>
      </c>
      <c r="I755" t="s">
        <v>822</v>
      </c>
      <c r="J755" t="s">
        <v>25</v>
      </c>
      <c r="K755">
        <v>1600</v>
      </c>
      <c r="L755" s="7">
        <f t="shared" si="22"/>
        <v>36594</v>
      </c>
      <c r="M755" s="7">
        <f>dataset!$L755-T755</f>
        <v>7794</v>
      </c>
      <c r="N755" s="7">
        <f>dataset!$M755/dataset!$L755*100</f>
        <v>21.298573536645353</v>
      </c>
      <c r="O755" s="25">
        <f>dataset!$K755*dataset!$G755</f>
        <v>28800</v>
      </c>
      <c r="P755"/>
      <c r="T755">
        <f>dataset!$K755*dataset!$G755</f>
        <v>28800</v>
      </c>
    </row>
    <row r="756" spans="1:20" x14ac:dyDescent="0.35">
      <c r="A756" s="2">
        <v>45749</v>
      </c>
      <c r="B756">
        <f t="shared" si="23"/>
        <v>2</v>
      </c>
      <c r="C756" t="s">
        <v>26</v>
      </c>
      <c r="D756" t="s">
        <v>46</v>
      </c>
      <c r="E756" t="s">
        <v>67</v>
      </c>
      <c r="F756" t="s">
        <v>47</v>
      </c>
      <c r="G756">
        <v>21</v>
      </c>
      <c r="H756">
        <v>2855</v>
      </c>
      <c r="I756" t="s">
        <v>823</v>
      </c>
      <c r="J756" t="s">
        <v>15</v>
      </c>
      <c r="K756">
        <v>2500</v>
      </c>
      <c r="L756" s="7">
        <f t="shared" si="22"/>
        <v>59955</v>
      </c>
      <c r="M756" s="7">
        <f>dataset!$L756-T756</f>
        <v>7455</v>
      </c>
      <c r="N756" s="7">
        <f>dataset!$M756/dataset!$L756*100</f>
        <v>12.43432574430823</v>
      </c>
      <c r="O756" s="25">
        <f>dataset!$K756*dataset!$G756</f>
        <v>52500</v>
      </c>
      <c r="P756"/>
      <c r="T756">
        <f>dataset!$K756*dataset!$G756</f>
        <v>52500</v>
      </c>
    </row>
    <row r="757" spans="1:20" x14ac:dyDescent="0.35">
      <c r="A757" s="2">
        <v>45805</v>
      </c>
      <c r="B757">
        <f t="shared" si="23"/>
        <v>28</v>
      </c>
      <c r="C757" t="s">
        <v>10</v>
      </c>
      <c r="D757" t="s">
        <v>46</v>
      </c>
      <c r="E757" t="s">
        <v>64</v>
      </c>
      <c r="F757" t="s">
        <v>13</v>
      </c>
      <c r="G757">
        <v>32</v>
      </c>
      <c r="H757">
        <v>2850</v>
      </c>
      <c r="I757" t="s">
        <v>122</v>
      </c>
      <c r="J757" t="s">
        <v>25</v>
      </c>
      <c r="K757">
        <v>2150</v>
      </c>
      <c r="L757" s="7">
        <f t="shared" si="22"/>
        <v>91200</v>
      </c>
      <c r="M757" s="7">
        <f>dataset!$L757-T757</f>
        <v>22400</v>
      </c>
      <c r="N757" s="7">
        <f>dataset!$M757/dataset!$L757*100</f>
        <v>24.561403508771928</v>
      </c>
      <c r="O757" s="25">
        <f>dataset!$K757*dataset!$G757</f>
        <v>68800</v>
      </c>
      <c r="P757"/>
      <c r="T757">
        <f>dataset!$K757*dataset!$G757</f>
        <v>68800</v>
      </c>
    </row>
    <row r="758" spans="1:20" x14ac:dyDescent="0.35">
      <c r="A758" s="2">
        <v>45752</v>
      </c>
      <c r="B758">
        <f t="shared" si="23"/>
        <v>5</v>
      </c>
      <c r="C758" t="s">
        <v>26</v>
      </c>
      <c r="D758" t="s">
        <v>16</v>
      </c>
      <c r="E758" t="s">
        <v>22</v>
      </c>
      <c r="F758" t="s">
        <v>56</v>
      </c>
      <c r="G758">
        <v>35</v>
      </c>
      <c r="H758">
        <v>2191</v>
      </c>
      <c r="I758" t="s">
        <v>824</v>
      </c>
      <c r="J758" t="s">
        <v>15</v>
      </c>
      <c r="K758">
        <v>1600</v>
      </c>
      <c r="L758" s="7">
        <f t="shared" si="22"/>
        <v>76685</v>
      </c>
      <c r="M758" s="7">
        <f>dataset!$L758-T758</f>
        <v>20685</v>
      </c>
      <c r="N758" s="7">
        <f>dataset!$M758/dataset!$L758*100</f>
        <v>26.973984481971701</v>
      </c>
      <c r="O758" s="25">
        <f>dataset!$K758*dataset!$G758</f>
        <v>56000</v>
      </c>
      <c r="P758"/>
      <c r="T758">
        <f>dataset!$K758*dataset!$G758</f>
        <v>56000</v>
      </c>
    </row>
    <row r="759" spans="1:20" x14ac:dyDescent="0.35">
      <c r="A759" s="2">
        <v>45822</v>
      </c>
      <c r="B759">
        <f t="shared" si="23"/>
        <v>14</v>
      </c>
      <c r="C759" t="s">
        <v>29</v>
      </c>
      <c r="D759" t="s">
        <v>46</v>
      </c>
      <c r="E759" t="s">
        <v>22</v>
      </c>
      <c r="F759" t="s">
        <v>52</v>
      </c>
      <c r="G759">
        <v>37</v>
      </c>
      <c r="H759">
        <v>2919</v>
      </c>
      <c r="I759" t="s">
        <v>825</v>
      </c>
      <c r="J759" t="s">
        <v>15</v>
      </c>
      <c r="K759">
        <v>2400</v>
      </c>
      <c r="L759" s="7">
        <f t="shared" si="22"/>
        <v>108003</v>
      </c>
      <c r="M759" s="7">
        <f>dataset!$L759-T759</f>
        <v>19203</v>
      </c>
      <c r="N759" s="7">
        <f>dataset!$M759/dataset!$L759*100</f>
        <v>17.780061664953749</v>
      </c>
      <c r="O759" s="25">
        <f>dataset!$K759*dataset!$G759</f>
        <v>88800</v>
      </c>
      <c r="P759"/>
      <c r="T759">
        <f>dataset!$K759*dataset!$G759</f>
        <v>88800</v>
      </c>
    </row>
    <row r="760" spans="1:20" x14ac:dyDescent="0.35">
      <c r="A760" s="2">
        <v>45780</v>
      </c>
      <c r="B760">
        <f t="shared" si="23"/>
        <v>3</v>
      </c>
      <c r="C760" t="s">
        <v>10</v>
      </c>
      <c r="D760" t="s">
        <v>11</v>
      </c>
      <c r="E760" t="s">
        <v>39</v>
      </c>
      <c r="F760" t="s">
        <v>18</v>
      </c>
      <c r="G760">
        <v>16</v>
      </c>
      <c r="H760">
        <v>676</v>
      </c>
      <c r="I760" t="s">
        <v>826</v>
      </c>
      <c r="J760" t="s">
        <v>15</v>
      </c>
      <c r="K760">
        <v>350</v>
      </c>
      <c r="L760" s="7">
        <f t="shared" si="22"/>
        <v>10816</v>
      </c>
      <c r="M760" s="7">
        <f>dataset!$L760-T760</f>
        <v>5216</v>
      </c>
      <c r="N760" s="7">
        <f>dataset!$M760/dataset!$L760*100</f>
        <v>48.22485207100592</v>
      </c>
      <c r="O760" s="25">
        <f>dataset!$K760*dataset!$G760</f>
        <v>5600</v>
      </c>
      <c r="P760"/>
      <c r="T760">
        <f>dataset!$K760*dataset!$G760</f>
        <v>5600</v>
      </c>
    </row>
    <row r="761" spans="1:20" x14ac:dyDescent="0.35">
      <c r="A761" s="2">
        <v>45824</v>
      </c>
      <c r="B761">
        <f t="shared" si="23"/>
        <v>16</v>
      </c>
      <c r="C761" t="s">
        <v>10</v>
      </c>
      <c r="D761" t="s">
        <v>21</v>
      </c>
      <c r="E761" t="s">
        <v>17</v>
      </c>
      <c r="F761" t="s">
        <v>13</v>
      </c>
      <c r="G761">
        <v>28</v>
      </c>
      <c r="H761">
        <v>1510</v>
      </c>
      <c r="I761" t="s">
        <v>827</v>
      </c>
      <c r="J761" t="s">
        <v>25</v>
      </c>
      <c r="K761">
        <v>850</v>
      </c>
      <c r="L761" s="7">
        <f t="shared" si="22"/>
        <v>42280</v>
      </c>
      <c r="M761" s="7">
        <f>dataset!$L761-T761</f>
        <v>18480</v>
      </c>
      <c r="N761" s="7">
        <f>dataset!$M761/dataset!$L761*100</f>
        <v>43.70860927152318</v>
      </c>
      <c r="O761" s="25">
        <f>dataset!$K761*dataset!$G761</f>
        <v>23800</v>
      </c>
      <c r="P761"/>
      <c r="T761">
        <f>dataset!$K761*dataset!$G761</f>
        <v>23800</v>
      </c>
    </row>
    <row r="762" spans="1:20" x14ac:dyDescent="0.35">
      <c r="A762" s="2">
        <v>45835</v>
      </c>
      <c r="B762">
        <f t="shared" si="23"/>
        <v>27</v>
      </c>
      <c r="C762" t="s">
        <v>20</v>
      </c>
      <c r="D762" t="s">
        <v>66</v>
      </c>
      <c r="E762" t="s">
        <v>17</v>
      </c>
      <c r="F762" t="s">
        <v>56</v>
      </c>
      <c r="G762">
        <v>34</v>
      </c>
      <c r="H762">
        <v>2165</v>
      </c>
      <c r="I762" t="s">
        <v>828</v>
      </c>
      <c r="J762" t="s">
        <v>25</v>
      </c>
      <c r="K762">
        <v>1300</v>
      </c>
      <c r="L762" s="7">
        <f t="shared" si="22"/>
        <v>73610</v>
      </c>
      <c r="M762" s="7">
        <f>dataset!$L762-T762</f>
        <v>29410</v>
      </c>
      <c r="N762" s="7">
        <f>dataset!$M762/dataset!$L762*100</f>
        <v>39.953810623556578</v>
      </c>
      <c r="O762" s="25">
        <f>dataset!$K762*dataset!$G762</f>
        <v>44200</v>
      </c>
      <c r="P762"/>
      <c r="T762">
        <f>dataset!$K762*dataset!$G762</f>
        <v>44200</v>
      </c>
    </row>
    <row r="763" spans="1:20" x14ac:dyDescent="0.35">
      <c r="A763" s="2">
        <v>45785</v>
      </c>
      <c r="B763">
        <f t="shared" si="23"/>
        <v>8</v>
      </c>
      <c r="C763" t="s">
        <v>29</v>
      </c>
      <c r="D763" t="s">
        <v>11</v>
      </c>
      <c r="E763" t="s">
        <v>42</v>
      </c>
      <c r="F763" t="s">
        <v>56</v>
      </c>
      <c r="G763">
        <v>13</v>
      </c>
      <c r="H763">
        <v>2918</v>
      </c>
      <c r="I763" t="s">
        <v>829</v>
      </c>
      <c r="J763" t="s">
        <v>15</v>
      </c>
      <c r="K763">
        <v>1700</v>
      </c>
      <c r="L763" s="7">
        <f t="shared" si="22"/>
        <v>37934</v>
      </c>
      <c r="M763" s="7">
        <f>dataset!$L763-T763</f>
        <v>15834</v>
      </c>
      <c r="N763" s="7">
        <f>dataset!$M763/dataset!$L763*100</f>
        <v>41.740918437285814</v>
      </c>
      <c r="O763" s="25">
        <f>dataset!$K763*dataset!$G763</f>
        <v>22100</v>
      </c>
      <c r="P763"/>
      <c r="T763">
        <f>dataset!$K763*dataset!$G763</f>
        <v>22100</v>
      </c>
    </row>
    <row r="764" spans="1:20" x14ac:dyDescent="0.35">
      <c r="A764" s="2">
        <v>45787</v>
      </c>
      <c r="B764">
        <f t="shared" si="23"/>
        <v>10</v>
      </c>
      <c r="C764" t="s">
        <v>26</v>
      </c>
      <c r="D764" t="s">
        <v>11</v>
      </c>
      <c r="E764" t="s">
        <v>30</v>
      </c>
      <c r="F764" t="s">
        <v>23</v>
      </c>
      <c r="G764">
        <v>25</v>
      </c>
      <c r="H764">
        <v>330</v>
      </c>
      <c r="I764" t="s">
        <v>830</v>
      </c>
      <c r="J764" t="s">
        <v>25</v>
      </c>
      <c r="K764">
        <v>250</v>
      </c>
      <c r="L764" s="7">
        <f t="shared" si="22"/>
        <v>8250</v>
      </c>
      <c r="M764" s="7">
        <f>dataset!$L764-T764</f>
        <v>2000</v>
      </c>
      <c r="N764" s="7">
        <f>dataset!$M764/dataset!$L764*100</f>
        <v>24.242424242424242</v>
      </c>
      <c r="O764" s="25">
        <f>dataset!$K764*dataset!$G764</f>
        <v>6250</v>
      </c>
      <c r="P764"/>
      <c r="T764">
        <f>dataset!$K764*dataset!$G764</f>
        <v>6250</v>
      </c>
    </row>
    <row r="765" spans="1:20" x14ac:dyDescent="0.35">
      <c r="A765" s="2">
        <v>45824</v>
      </c>
      <c r="B765">
        <f t="shared" si="23"/>
        <v>16</v>
      </c>
      <c r="C765" t="s">
        <v>20</v>
      </c>
      <c r="D765" t="s">
        <v>66</v>
      </c>
      <c r="E765" t="s">
        <v>75</v>
      </c>
      <c r="F765" t="s">
        <v>47</v>
      </c>
      <c r="G765">
        <v>16</v>
      </c>
      <c r="H765">
        <v>2950</v>
      </c>
      <c r="I765" t="s">
        <v>831</v>
      </c>
      <c r="J765" t="s">
        <v>25</v>
      </c>
      <c r="K765">
        <v>1800</v>
      </c>
      <c r="L765" s="7">
        <f t="shared" si="22"/>
        <v>47200</v>
      </c>
      <c r="M765" s="7">
        <f>dataset!$L765-T765</f>
        <v>18400</v>
      </c>
      <c r="N765" s="7">
        <f>dataset!$M765/dataset!$L765*100</f>
        <v>38.983050847457626</v>
      </c>
      <c r="O765" s="25">
        <f>dataset!$K765*dataset!$G765</f>
        <v>28800</v>
      </c>
      <c r="P765"/>
      <c r="T765">
        <f>dataset!$K765*dataset!$G765</f>
        <v>28800</v>
      </c>
    </row>
    <row r="766" spans="1:20" x14ac:dyDescent="0.35">
      <c r="A766" s="2">
        <v>45817</v>
      </c>
      <c r="B766">
        <f t="shared" si="23"/>
        <v>9</v>
      </c>
      <c r="C766" t="s">
        <v>26</v>
      </c>
      <c r="D766" t="s">
        <v>36</v>
      </c>
      <c r="E766" t="s">
        <v>67</v>
      </c>
      <c r="F766" t="s">
        <v>23</v>
      </c>
      <c r="G766">
        <v>18</v>
      </c>
      <c r="H766">
        <v>981</v>
      </c>
      <c r="I766" t="s">
        <v>832</v>
      </c>
      <c r="J766" t="s">
        <v>25</v>
      </c>
      <c r="K766">
        <v>800</v>
      </c>
      <c r="L766" s="7">
        <f t="shared" si="22"/>
        <v>17658</v>
      </c>
      <c r="M766" s="7">
        <f>dataset!$L766-T766</f>
        <v>3258</v>
      </c>
      <c r="N766" s="7">
        <f>dataset!$M766/dataset!$L766*100</f>
        <v>18.450560652395513</v>
      </c>
      <c r="O766" s="25">
        <f>dataset!$K766*dataset!$G766</f>
        <v>14400</v>
      </c>
      <c r="P766"/>
      <c r="T766">
        <f>dataset!$K766*dataset!$G766</f>
        <v>14400</v>
      </c>
    </row>
    <row r="767" spans="1:20" x14ac:dyDescent="0.35">
      <c r="A767" s="2">
        <v>45774</v>
      </c>
      <c r="B767">
        <f t="shared" si="23"/>
        <v>27</v>
      </c>
      <c r="C767" t="s">
        <v>29</v>
      </c>
      <c r="D767" t="s">
        <v>16</v>
      </c>
      <c r="E767" t="s">
        <v>42</v>
      </c>
      <c r="F767" t="s">
        <v>23</v>
      </c>
      <c r="G767">
        <v>44</v>
      </c>
      <c r="H767">
        <v>476</v>
      </c>
      <c r="I767" t="s">
        <v>833</v>
      </c>
      <c r="J767" t="s">
        <v>15</v>
      </c>
      <c r="K767">
        <v>250</v>
      </c>
      <c r="L767" s="7">
        <f t="shared" si="22"/>
        <v>20944</v>
      </c>
      <c r="M767" s="7">
        <f>dataset!$L767-T767</f>
        <v>9944</v>
      </c>
      <c r="N767" s="7">
        <f>dataset!$M767/dataset!$L767*100</f>
        <v>47.47899159663865</v>
      </c>
      <c r="O767" s="25">
        <f>dataset!$K767*dataset!$G767</f>
        <v>11000</v>
      </c>
      <c r="P767"/>
      <c r="T767">
        <f>dataset!$K767*dataset!$G767</f>
        <v>11000</v>
      </c>
    </row>
    <row r="768" spans="1:20" x14ac:dyDescent="0.35">
      <c r="A768" s="2">
        <v>45773</v>
      </c>
      <c r="B768">
        <f t="shared" si="23"/>
        <v>26</v>
      </c>
      <c r="C768" t="s">
        <v>20</v>
      </c>
      <c r="D768" t="s">
        <v>33</v>
      </c>
      <c r="E768" t="s">
        <v>64</v>
      </c>
      <c r="F768" t="s">
        <v>59</v>
      </c>
      <c r="G768">
        <v>35</v>
      </c>
      <c r="H768">
        <v>2485</v>
      </c>
      <c r="I768" t="s">
        <v>123</v>
      </c>
      <c r="J768" t="s">
        <v>25</v>
      </c>
      <c r="K768">
        <v>1900</v>
      </c>
      <c r="L768" s="7">
        <f t="shared" si="22"/>
        <v>86975</v>
      </c>
      <c r="M768" s="7">
        <f>dataset!$L768-T768</f>
        <v>20475</v>
      </c>
      <c r="N768" s="7">
        <f>dataset!$M768/dataset!$L768*100</f>
        <v>23.541247484909455</v>
      </c>
      <c r="O768" s="25">
        <f>dataset!$K768*dataset!$G768</f>
        <v>66500</v>
      </c>
      <c r="P768"/>
      <c r="T768">
        <f>dataset!$K768*dataset!$G768</f>
        <v>66500</v>
      </c>
    </row>
    <row r="769" spans="1:20" x14ac:dyDescent="0.35">
      <c r="A769" s="2">
        <v>45827</v>
      </c>
      <c r="B769">
        <f t="shared" si="23"/>
        <v>19</v>
      </c>
      <c r="C769" t="s">
        <v>10</v>
      </c>
      <c r="D769" t="s">
        <v>66</v>
      </c>
      <c r="E769" t="s">
        <v>64</v>
      </c>
      <c r="F769" t="s">
        <v>40</v>
      </c>
      <c r="G769">
        <v>33</v>
      </c>
      <c r="H769">
        <v>325</v>
      </c>
      <c r="I769" t="s">
        <v>834</v>
      </c>
      <c r="J769" t="s">
        <v>25</v>
      </c>
      <c r="K769">
        <v>250</v>
      </c>
      <c r="L769" s="7">
        <f t="shared" si="22"/>
        <v>10725</v>
      </c>
      <c r="M769" s="7">
        <f>dataset!$L769-T769</f>
        <v>2475</v>
      </c>
      <c r="N769" s="7">
        <f>dataset!$M769/dataset!$L769*100</f>
        <v>23.076923076923077</v>
      </c>
      <c r="O769" s="25">
        <f>dataset!$K769*dataset!$G769</f>
        <v>8250</v>
      </c>
      <c r="P769"/>
      <c r="T769">
        <f>dataset!$K769*dataset!$G769</f>
        <v>8250</v>
      </c>
    </row>
    <row r="770" spans="1:20" x14ac:dyDescent="0.35">
      <c r="A770" s="2">
        <v>45764</v>
      </c>
      <c r="B770">
        <f t="shared" si="23"/>
        <v>17</v>
      </c>
      <c r="C770" t="s">
        <v>20</v>
      </c>
      <c r="D770" t="s">
        <v>11</v>
      </c>
      <c r="E770" t="s">
        <v>22</v>
      </c>
      <c r="F770" t="s">
        <v>37</v>
      </c>
      <c r="G770">
        <v>21</v>
      </c>
      <c r="H770">
        <v>2232</v>
      </c>
      <c r="I770" t="s">
        <v>835</v>
      </c>
      <c r="J770" t="s">
        <v>15</v>
      </c>
      <c r="K770">
        <v>1650</v>
      </c>
      <c r="L770" s="7">
        <f t="shared" ref="L770:L801" si="24">G770*H770</f>
        <v>46872</v>
      </c>
      <c r="M770" s="7">
        <f>dataset!$L770-T770</f>
        <v>12222</v>
      </c>
      <c r="N770" s="7">
        <f>dataset!$M770/dataset!$L770*100</f>
        <v>26.0752688172043</v>
      </c>
      <c r="O770" s="25">
        <f>dataset!$K770*dataset!$G770</f>
        <v>34650</v>
      </c>
      <c r="P770"/>
      <c r="T770">
        <f>dataset!$K770*dataset!$G770</f>
        <v>34650</v>
      </c>
    </row>
    <row r="771" spans="1:20" x14ac:dyDescent="0.35">
      <c r="A771" s="2">
        <v>45819</v>
      </c>
      <c r="B771">
        <f t="shared" ref="B771:B801" si="25">DAY(A771)</f>
        <v>11</v>
      </c>
      <c r="C771" t="s">
        <v>29</v>
      </c>
      <c r="D771" t="s">
        <v>27</v>
      </c>
      <c r="E771" t="s">
        <v>42</v>
      </c>
      <c r="F771" t="s">
        <v>37</v>
      </c>
      <c r="G771">
        <v>9</v>
      </c>
      <c r="H771">
        <v>1816</v>
      </c>
      <c r="I771" t="s">
        <v>836</v>
      </c>
      <c r="J771" t="s">
        <v>25</v>
      </c>
      <c r="K771">
        <v>1450</v>
      </c>
      <c r="L771" s="7">
        <f t="shared" si="24"/>
        <v>16344</v>
      </c>
      <c r="M771" s="7">
        <f>dataset!$L771-T771</f>
        <v>3294</v>
      </c>
      <c r="N771" s="7">
        <f>dataset!$M771/dataset!$L771*100</f>
        <v>20.154185022026432</v>
      </c>
      <c r="O771" s="25">
        <f>dataset!$K771*dataset!$G771</f>
        <v>13050</v>
      </c>
      <c r="P771"/>
      <c r="T771">
        <f>dataset!$K771*dataset!$G771</f>
        <v>13050</v>
      </c>
    </row>
    <row r="772" spans="1:20" x14ac:dyDescent="0.35">
      <c r="A772" s="2">
        <v>45807</v>
      </c>
      <c r="B772">
        <f t="shared" si="25"/>
        <v>30</v>
      </c>
      <c r="C772" t="s">
        <v>20</v>
      </c>
      <c r="D772" t="s">
        <v>16</v>
      </c>
      <c r="E772" t="s">
        <v>54</v>
      </c>
      <c r="F772" t="s">
        <v>40</v>
      </c>
      <c r="G772">
        <v>35</v>
      </c>
      <c r="H772">
        <v>2124</v>
      </c>
      <c r="I772" t="s">
        <v>837</v>
      </c>
      <c r="J772" t="s">
        <v>25</v>
      </c>
      <c r="K772">
        <v>1650</v>
      </c>
      <c r="L772" s="7">
        <f t="shared" si="24"/>
        <v>74340</v>
      </c>
      <c r="M772" s="7">
        <f>dataset!$L772-T772</f>
        <v>16590</v>
      </c>
      <c r="N772" s="7">
        <f>dataset!$M772/dataset!$L772*100</f>
        <v>22.316384180790962</v>
      </c>
      <c r="O772" s="25">
        <f>dataset!$K772*dataset!$G772</f>
        <v>57750</v>
      </c>
      <c r="P772"/>
      <c r="T772">
        <f>dataset!$K772*dataset!$G772</f>
        <v>57750</v>
      </c>
    </row>
    <row r="773" spans="1:20" x14ac:dyDescent="0.35">
      <c r="A773" s="2">
        <v>45824</v>
      </c>
      <c r="B773">
        <f t="shared" si="25"/>
        <v>16</v>
      </c>
      <c r="C773" t="s">
        <v>10</v>
      </c>
      <c r="D773" t="s">
        <v>21</v>
      </c>
      <c r="E773" t="s">
        <v>39</v>
      </c>
      <c r="F773" t="s">
        <v>59</v>
      </c>
      <c r="G773">
        <v>50</v>
      </c>
      <c r="H773">
        <v>1535</v>
      </c>
      <c r="I773" t="s">
        <v>838</v>
      </c>
      <c r="J773" t="s">
        <v>15</v>
      </c>
      <c r="K773">
        <v>1000</v>
      </c>
      <c r="L773" s="7">
        <f t="shared" si="24"/>
        <v>76750</v>
      </c>
      <c r="M773" s="7">
        <f>dataset!$L773-T773</f>
        <v>26750</v>
      </c>
      <c r="N773" s="7">
        <f>dataset!$M773/dataset!$L773*100</f>
        <v>34.853420195439739</v>
      </c>
      <c r="O773" s="25">
        <f>dataset!$K773*dataset!$G773</f>
        <v>50000</v>
      </c>
      <c r="P773"/>
      <c r="T773">
        <f>dataset!$K773*dataset!$G773</f>
        <v>50000</v>
      </c>
    </row>
    <row r="774" spans="1:20" x14ac:dyDescent="0.35">
      <c r="A774" s="2">
        <v>45828</v>
      </c>
      <c r="B774">
        <f t="shared" si="25"/>
        <v>20</v>
      </c>
      <c r="C774" t="s">
        <v>10</v>
      </c>
      <c r="D774" t="s">
        <v>11</v>
      </c>
      <c r="E774" t="s">
        <v>12</v>
      </c>
      <c r="F774" t="s">
        <v>59</v>
      </c>
      <c r="G774">
        <v>48</v>
      </c>
      <c r="H774">
        <v>2605</v>
      </c>
      <c r="I774" t="s">
        <v>839</v>
      </c>
      <c r="J774" t="s">
        <v>25</v>
      </c>
      <c r="K774">
        <v>2050</v>
      </c>
      <c r="L774" s="7">
        <f t="shared" si="24"/>
        <v>125040</v>
      </c>
      <c r="M774" s="7">
        <f>dataset!$L774-T774</f>
        <v>26640</v>
      </c>
      <c r="N774" s="7">
        <f>dataset!$M774/dataset!$L774*100</f>
        <v>21.305182341650671</v>
      </c>
      <c r="O774" s="25">
        <f>dataset!$K774*dataset!$G774</f>
        <v>98400</v>
      </c>
      <c r="P774"/>
      <c r="T774">
        <f>dataset!$K774*dataset!$G774</f>
        <v>98400</v>
      </c>
    </row>
    <row r="775" spans="1:20" x14ac:dyDescent="0.35">
      <c r="A775" s="2">
        <v>45765</v>
      </c>
      <c r="B775">
        <f t="shared" si="25"/>
        <v>18</v>
      </c>
      <c r="C775" t="s">
        <v>20</v>
      </c>
      <c r="D775" t="s">
        <v>16</v>
      </c>
      <c r="E775" t="s">
        <v>30</v>
      </c>
      <c r="F775" t="s">
        <v>40</v>
      </c>
      <c r="G775">
        <v>42</v>
      </c>
      <c r="H775">
        <v>1117</v>
      </c>
      <c r="I775" t="s">
        <v>840</v>
      </c>
      <c r="J775" t="s">
        <v>15</v>
      </c>
      <c r="K775">
        <v>750</v>
      </c>
      <c r="L775" s="7">
        <f t="shared" si="24"/>
        <v>46914</v>
      </c>
      <c r="M775" s="7">
        <f>dataset!$L775-T775</f>
        <v>15414</v>
      </c>
      <c r="N775" s="7">
        <f>dataset!$M775/dataset!$L775*100</f>
        <v>32.855863921217548</v>
      </c>
      <c r="O775" s="25">
        <f>dataset!$K775*dataset!$G775</f>
        <v>31500</v>
      </c>
      <c r="P775"/>
      <c r="T775">
        <f>dataset!$K775*dataset!$G775</f>
        <v>31500</v>
      </c>
    </row>
    <row r="776" spans="1:20" x14ac:dyDescent="0.35">
      <c r="A776" s="2">
        <v>45781</v>
      </c>
      <c r="B776">
        <f t="shared" si="25"/>
        <v>4</v>
      </c>
      <c r="C776" t="s">
        <v>26</v>
      </c>
      <c r="D776" t="s">
        <v>16</v>
      </c>
      <c r="E776" t="s">
        <v>54</v>
      </c>
      <c r="F776" t="s">
        <v>40</v>
      </c>
      <c r="G776">
        <v>13</v>
      </c>
      <c r="H776">
        <v>707</v>
      </c>
      <c r="I776" t="s">
        <v>841</v>
      </c>
      <c r="J776" t="s">
        <v>15</v>
      </c>
      <c r="K776">
        <v>450</v>
      </c>
      <c r="L776" s="7">
        <f t="shared" si="24"/>
        <v>9191</v>
      </c>
      <c r="M776" s="7">
        <f>dataset!$L776-T776</f>
        <v>3341</v>
      </c>
      <c r="N776" s="7">
        <f>dataset!$M776/dataset!$L776*100</f>
        <v>36.350777934936353</v>
      </c>
      <c r="O776" s="25">
        <f>dataset!$K776*dataset!$G776</f>
        <v>5850</v>
      </c>
      <c r="P776"/>
      <c r="T776">
        <f>dataset!$K776*dataset!$G776</f>
        <v>5850</v>
      </c>
    </row>
    <row r="777" spans="1:20" x14ac:dyDescent="0.35">
      <c r="A777" s="2">
        <v>45795</v>
      </c>
      <c r="B777">
        <f t="shared" si="25"/>
        <v>18</v>
      </c>
      <c r="C777" t="s">
        <v>10</v>
      </c>
      <c r="D777" t="s">
        <v>33</v>
      </c>
      <c r="E777" t="s">
        <v>39</v>
      </c>
      <c r="F777" t="s">
        <v>31</v>
      </c>
      <c r="G777">
        <v>24</v>
      </c>
      <c r="H777">
        <v>703</v>
      </c>
      <c r="I777" t="s">
        <v>842</v>
      </c>
      <c r="J777" t="s">
        <v>15</v>
      </c>
      <c r="K777">
        <v>400</v>
      </c>
      <c r="L777" s="7">
        <f t="shared" si="24"/>
        <v>16872</v>
      </c>
      <c r="M777" s="7">
        <f>dataset!$L777-T777</f>
        <v>7272</v>
      </c>
      <c r="N777" s="7">
        <f>dataset!$M777/dataset!$L777*100</f>
        <v>43.100995732574681</v>
      </c>
      <c r="O777" s="25">
        <f>dataset!$K777*dataset!$G777</f>
        <v>9600</v>
      </c>
      <c r="P777"/>
      <c r="T777">
        <f>dataset!$K777*dataset!$G777</f>
        <v>9600</v>
      </c>
    </row>
    <row r="778" spans="1:20" x14ac:dyDescent="0.35">
      <c r="A778" s="2">
        <v>45789</v>
      </c>
      <c r="B778">
        <f t="shared" si="25"/>
        <v>12</v>
      </c>
      <c r="C778" t="s">
        <v>35</v>
      </c>
      <c r="D778" t="s">
        <v>33</v>
      </c>
      <c r="E778" t="s">
        <v>30</v>
      </c>
      <c r="F778" t="s">
        <v>40</v>
      </c>
      <c r="G778">
        <v>10</v>
      </c>
      <c r="H778">
        <v>440</v>
      </c>
      <c r="I778" t="s">
        <v>843</v>
      </c>
      <c r="J778" t="s">
        <v>15</v>
      </c>
      <c r="K778">
        <v>300</v>
      </c>
      <c r="L778" s="7">
        <f t="shared" si="24"/>
        <v>4400</v>
      </c>
      <c r="M778" s="7">
        <f>dataset!$L778-T778</f>
        <v>1400</v>
      </c>
      <c r="N778" s="7">
        <f>dataset!$M778/dataset!$L778*100</f>
        <v>31.818181818181817</v>
      </c>
      <c r="O778" s="25">
        <f>dataset!$K778*dataset!$G778</f>
        <v>3000</v>
      </c>
      <c r="P778"/>
      <c r="T778">
        <f>dataset!$K778*dataset!$G778</f>
        <v>3000</v>
      </c>
    </row>
    <row r="779" spans="1:20" x14ac:dyDescent="0.35">
      <c r="A779" s="2">
        <v>45811</v>
      </c>
      <c r="B779">
        <f t="shared" si="25"/>
        <v>3</v>
      </c>
      <c r="C779" t="s">
        <v>26</v>
      </c>
      <c r="D779" t="s">
        <v>27</v>
      </c>
      <c r="E779" t="s">
        <v>39</v>
      </c>
      <c r="F779" t="s">
        <v>40</v>
      </c>
      <c r="G779">
        <v>41</v>
      </c>
      <c r="H779">
        <v>2241</v>
      </c>
      <c r="I779" t="s">
        <v>41</v>
      </c>
      <c r="J779" t="s">
        <v>15</v>
      </c>
      <c r="K779">
        <v>1250</v>
      </c>
      <c r="L779" s="7">
        <f t="shared" si="24"/>
        <v>91881</v>
      </c>
      <c r="M779" s="7">
        <f>dataset!$L779-T779</f>
        <v>40631</v>
      </c>
      <c r="N779" s="7">
        <f>dataset!$M779/dataset!$L779*100</f>
        <v>44.221329763498439</v>
      </c>
      <c r="O779" s="25">
        <f>dataset!$K779*dataset!$G779</f>
        <v>51250</v>
      </c>
      <c r="P779"/>
      <c r="T779">
        <f>dataset!$K779*dataset!$G779</f>
        <v>51250</v>
      </c>
    </row>
    <row r="780" spans="1:20" x14ac:dyDescent="0.35">
      <c r="A780" s="2">
        <v>45804</v>
      </c>
      <c r="B780">
        <f t="shared" si="25"/>
        <v>27</v>
      </c>
      <c r="C780" t="s">
        <v>20</v>
      </c>
      <c r="D780" t="s">
        <v>16</v>
      </c>
      <c r="E780" t="s">
        <v>17</v>
      </c>
      <c r="F780" t="s">
        <v>31</v>
      </c>
      <c r="G780">
        <v>12</v>
      </c>
      <c r="H780">
        <v>392</v>
      </c>
      <c r="I780" t="s">
        <v>124</v>
      </c>
      <c r="J780" t="s">
        <v>25</v>
      </c>
      <c r="K780">
        <v>200</v>
      </c>
      <c r="L780" s="7">
        <f t="shared" si="24"/>
        <v>4704</v>
      </c>
      <c r="M780" s="7">
        <f>dataset!$L780-T780</f>
        <v>2304</v>
      </c>
      <c r="N780" s="7">
        <f>dataset!$M780/dataset!$L780*100</f>
        <v>48.979591836734691</v>
      </c>
      <c r="O780" s="25">
        <f>dataset!$K780*dataset!$G780</f>
        <v>2400</v>
      </c>
      <c r="P780"/>
      <c r="T780">
        <f>dataset!$K780*dataset!$G780</f>
        <v>2400</v>
      </c>
    </row>
    <row r="781" spans="1:20" x14ac:dyDescent="0.35">
      <c r="A781" s="2">
        <v>45779</v>
      </c>
      <c r="B781">
        <f t="shared" si="25"/>
        <v>2</v>
      </c>
      <c r="C781" t="s">
        <v>10</v>
      </c>
      <c r="D781" t="s">
        <v>46</v>
      </c>
      <c r="E781" t="s">
        <v>42</v>
      </c>
      <c r="F781" t="s">
        <v>47</v>
      </c>
      <c r="G781">
        <v>32</v>
      </c>
      <c r="H781">
        <v>1064</v>
      </c>
      <c r="I781" t="s">
        <v>844</v>
      </c>
      <c r="J781" t="s">
        <v>15</v>
      </c>
      <c r="K781">
        <v>550</v>
      </c>
      <c r="L781" s="7">
        <f t="shared" si="24"/>
        <v>34048</v>
      </c>
      <c r="M781" s="7">
        <f>dataset!$L781-T781</f>
        <v>16448</v>
      </c>
      <c r="N781" s="7">
        <f>dataset!$M781/dataset!$L781*100</f>
        <v>48.308270676691727</v>
      </c>
      <c r="O781" s="25">
        <f>dataset!$K781*dataset!$G781</f>
        <v>17600</v>
      </c>
      <c r="P781"/>
      <c r="T781">
        <f>dataset!$K781*dataset!$G781</f>
        <v>17600</v>
      </c>
    </row>
    <row r="782" spans="1:20" x14ac:dyDescent="0.35">
      <c r="A782" s="2">
        <v>45782</v>
      </c>
      <c r="B782">
        <f t="shared" si="25"/>
        <v>5</v>
      </c>
      <c r="C782" t="s">
        <v>20</v>
      </c>
      <c r="D782" t="s">
        <v>16</v>
      </c>
      <c r="E782" t="s">
        <v>12</v>
      </c>
      <c r="F782" t="s">
        <v>31</v>
      </c>
      <c r="G782">
        <v>36</v>
      </c>
      <c r="H782">
        <v>1429</v>
      </c>
      <c r="I782" t="s">
        <v>125</v>
      </c>
      <c r="J782" t="s">
        <v>25</v>
      </c>
      <c r="K782">
        <v>800</v>
      </c>
      <c r="L782" s="7">
        <f t="shared" si="24"/>
        <v>51444</v>
      </c>
      <c r="M782" s="7">
        <f>dataset!$L782-T782</f>
        <v>22644</v>
      </c>
      <c r="N782" s="7">
        <f>dataset!$M782/dataset!$L782*100</f>
        <v>44.016794961511543</v>
      </c>
      <c r="O782" s="25">
        <f>dataset!$K782*dataset!$G782</f>
        <v>28800</v>
      </c>
      <c r="P782"/>
      <c r="T782">
        <f>dataset!$K782*dataset!$G782</f>
        <v>28800</v>
      </c>
    </row>
    <row r="783" spans="1:20" x14ac:dyDescent="0.35">
      <c r="A783" s="2">
        <v>45838</v>
      </c>
      <c r="B783">
        <f t="shared" si="25"/>
        <v>30</v>
      </c>
      <c r="C783" t="s">
        <v>10</v>
      </c>
      <c r="D783" t="s">
        <v>36</v>
      </c>
      <c r="E783" t="s">
        <v>39</v>
      </c>
      <c r="F783" t="s">
        <v>31</v>
      </c>
      <c r="G783">
        <v>38</v>
      </c>
      <c r="H783">
        <v>1492</v>
      </c>
      <c r="I783" t="s">
        <v>126</v>
      </c>
      <c r="J783" t="s">
        <v>15</v>
      </c>
      <c r="K783">
        <v>1100</v>
      </c>
      <c r="L783" s="7">
        <f t="shared" si="24"/>
        <v>56696</v>
      </c>
      <c r="M783" s="7">
        <f>dataset!$L783-T783</f>
        <v>14896</v>
      </c>
      <c r="N783" s="7">
        <f>dataset!$M783/dataset!$L783*100</f>
        <v>26.273458445040216</v>
      </c>
      <c r="O783" s="25">
        <f>dataset!$K783*dataset!$G783</f>
        <v>41800</v>
      </c>
      <c r="P783"/>
      <c r="T783">
        <f>dataset!$K783*dataset!$G783</f>
        <v>41800</v>
      </c>
    </row>
    <row r="784" spans="1:20" x14ac:dyDescent="0.35">
      <c r="A784" s="2">
        <v>45806</v>
      </c>
      <c r="B784">
        <f t="shared" si="25"/>
        <v>29</v>
      </c>
      <c r="C784" t="s">
        <v>35</v>
      </c>
      <c r="D784" t="s">
        <v>33</v>
      </c>
      <c r="E784" t="s">
        <v>42</v>
      </c>
      <c r="F784" t="s">
        <v>52</v>
      </c>
      <c r="G784">
        <v>46</v>
      </c>
      <c r="H784">
        <v>2973</v>
      </c>
      <c r="I784" t="s">
        <v>127</v>
      </c>
      <c r="J784" t="s">
        <v>25</v>
      </c>
      <c r="K784">
        <v>2150</v>
      </c>
      <c r="L784" s="7">
        <f t="shared" si="24"/>
        <v>136758</v>
      </c>
      <c r="M784" s="7">
        <f>dataset!$L784-T784</f>
        <v>37858</v>
      </c>
      <c r="N784" s="7">
        <f>dataset!$M784/dataset!$L784*100</f>
        <v>27.682475613858053</v>
      </c>
      <c r="O784" s="25">
        <f>dataset!$K784*dataset!$G784</f>
        <v>98900</v>
      </c>
      <c r="P784"/>
      <c r="T784">
        <f>dataset!$K784*dataset!$G784</f>
        <v>98900</v>
      </c>
    </row>
    <row r="785" spans="1:20" x14ac:dyDescent="0.35">
      <c r="A785" s="2">
        <v>45819</v>
      </c>
      <c r="B785">
        <f t="shared" si="25"/>
        <v>11</v>
      </c>
      <c r="C785" t="s">
        <v>10</v>
      </c>
      <c r="D785" t="s">
        <v>21</v>
      </c>
      <c r="E785" t="s">
        <v>54</v>
      </c>
      <c r="F785" t="s">
        <v>13</v>
      </c>
      <c r="G785">
        <v>34</v>
      </c>
      <c r="H785">
        <v>2316</v>
      </c>
      <c r="I785" t="s">
        <v>128</v>
      </c>
      <c r="J785" t="s">
        <v>15</v>
      </c>
      <c r="K785">
        <v>1800</v>
      </c>
      <c r="L785" s="7">
        <f t="shared" si="24"/>
        <v>78744</v>
      </c>
      <c r="M785" s="7">
        <f>dataset!$L785-T785</f>
        <v>17544</v>
      </c>
      <c r="N785" s="7">
        <f>dataset!$M785/dataset!$L785*100</f>
        <v>22.279792746113987</v>
      </c>
      <c r="O785" s="25">
        <f>dataset!$K785*dataset!$G785</f>
        <v>61200</v>
      </c>
      <c r="P785"/>
      <c r="T785">
        <f>dataset!$K785*dataset!$G785</f>
        <v>61200</v>
      </c>
    </row>
    <row r="786" spans="1:20" x14ac:dyDescent="0.35">
      <c r="A786" s="2">
        <v>45778</v>
      </c>
      <c r="B786">
        <f t="shared" si="25"/>
        <v>1</v>
      </c>
      <c r="C786" t="s">
        <v>20</v>
      </c>
      <c r="D786" t="s">
        <v>33</v>
      </c>
      <c r="E786" t="s">
        <v>67</v>
      </c>
      <c r="F786" t="s">
        <v>23</v>
      </c>
      <c r="G786">
        <v>24</v>
      </c>
      <c r="H786">
        <v>2432</v>
      </c>
      <c r="I786" t="s">
        <v>129</v>
      </c>
      <c r="J786" t="s">
        <v>25</v>
      </c>
      <c r="K786">
        <v>1250</v>
      </c>
      <c r="L786" s="7">
        <f t="shared" si="24"/>
        <v>58368</v>
      </c>
      <c r="M786" s="7">
        <f>dataset!$L786-T786</f>
        <v>28368</v>
      </c>
      <c r="N786" s="7">
        <f>dataset!$M786/dataset!$L786*100</f>
        <v>48.601973684210527</v>
      </c>
      <c r="O786" s="25">
        <f>dataset!$K786*dataset!$G786</f>
        <v>30000</v>
      </c>
      <c r="P786"/>
      <c r="T786">
        <f>dataset!$K786*dataset!$G786</f>
        <v>30000</v>
      </c>
    </row>
    <row r="787" spans="1:20" x14ac:dyDescent="0.35">
      <c r="A787" s="2">
        <v>45835</v>
      </c>
      <c r="B787">
        <f t="shared" si="25"/>
        <v>27</v>
      </c>
      <c r="C787" t="s">
        <v>35</v>
      </c>
      <c r="D787" t="s">
        <v>27</v>
      </c>
      <c r="E787" t="s">
        <v>12</v>
      </c>
      <c r="F787" t="s">
        <v>59</v>
      </c>
      <c r="G787">
        <v>34</v>
      </c>
      <c r="H787">
        <v>1312</v>
      </c>
      <c r="I787" t="s">
        <v>130</v>
      </c>
      <c r="J787" t="s">
        <v>25</v>
      </c>
      <c r="K787">
        <v>950</v>
      </c>
      <c r="L787" s="7">
        <f t="shared" si="24"/>
        <v>44608</v>
      </c>
      <c r="M787" s="7">
        <f>dataset!$L787-T787</f>
        <v>12308</v>
      </c>
      <c r="N787" s="7">
        <f>dataset!$M787/dataset!$L787*100</f>
        <v>27.591463414634148</v>
      </c>
      <c r="O787" s="25">
        <f>dataset!$K787*dataset!$G787</f>
        <v>32300</v>
      </c>
      <c r="P787"/>
      <c r="T787">
        <f>dataset!$K787*dataset!$G787</f>
        <v>32300</v>
      </c>
    </row>
    <row r="788" spans="1:20" x14ac:dyDescent="0.35">
      <c r="A788" s="2">
        <v>45830</v>
      </c>
      <c r="B788">
        <f t="shared" si="25"/>
        <v>22</v>
      </c>
      <c r="C788" t="s">
        <v>20</v>
      </c>
      <c r="D788" t="s">
        <v>16</v>
      </c>
      <c r="E788" t="s">
        <v>22</v>
      </c>
      <c r="F788" t="s">
        <v>13</v>
      </c>
      <c r="G788">
        <v>14</v>
      </c>
      <c r="H788">
        <v>2268</v>
      </c>
      <c r="I788" t="s">
        <v>131</v>
      </c>
      <c r="J788" t="s">
        <v>25</v>
      </c>
      <c r="K788">
        <v>1550</v>
      </c>
      <c r="L788" s="7">
        <f t="shared" si="24"/>
        <v>31752</v>
      </c>
      <c r="M788" s="7">
        <f>dataset!$L788-T788</f>
        <v>10052</v>
      </c>
      <c r="N788" s="7">
        <f>dataset!$M788/dataset!$L788*100</f>
        <v>31.657848324514994</v>
      </c>
      <c r="O788" s="25">
        <f>dataset!$K788*dataset!$G788</f>
        <v>21700</v>
      </c>
      <c r="P788"/>
      <c r="T788">
        <f>dataset!$K788*dataset!$G788</f>
        <v>21700</v>
      </c>
    </row>
    <row r="789" spans="1:20" x14ac:dyDescent="0.35">
      <c r="A789" s="2">
        <v>45831</v>
      </c>
      <c r="B789">
        <f t="shared" si="25"/>
        <v>23</v>
      </c>
      <c r="C789" t="s">
        <v>26</v>
      </c>
      <c r="D789" t="s">
        <v>36</v>
      </c>
      <c r="E789" t="s">
        <v>17</v>
      </c>
      <c r="F789" t="s">
        <v>52</v>
      </c>
      <c r="G789">
        <v>48</v>
      </c>
      <c r="H789">
        <v>1602</v>
      </c>
      <c r="I789" t="s">
        <v>132</v>
      </c>
      <c r="J789" t="s">
        <v>15</v>
      </c>
      <c r="K789">
        <v>1100</v>
      </c>
      <c r="L789" s="7">
        <f t="shared" si="24"/>
        <v>76896</v>
      </c>
      <c r="M789" s="7">
        <f>dataset!$L789-T789</f>
        <v>24096</v>
      </c>
      <c r="N789" s="7">
        <f>dataset!$M789/dataset!$L789*100</f>
        <v>31.335830212234704</v>
      </c>
      <c r="O789" s="25">
        <f>dataset!$K789*dataset!$G789</f>
        <v>52800</v>
      </c>
      <c r="P789"/>
      <c r="T789">
        <f>dataset!$K789*dataset!$G789</f>
        <v>52800</v>
      </c>
    </row>
    <row r="790" spans="1:20" x14ac:dyDescent="0.35">
      <c r="A790" s="2">
        <v>45762</v>
      </c>
      <c r="B790">
        <f t="shared" si="25"/>
        <v>15</v>
      </c>
      <c r="C790" t="s">
        <v>29</v>
      </c>
      <c r="D790" t="s">
        <v>21</v>
      </c>
      <c r="E790" t="s">
        <v>30</v>
      </c>
      <c r="F790" t="s">
        <v>47</v>
      </c>
      <c r="G790">
        <v>6</v>
      </c>
      <c r="H790">
        <v>2068</v>
      </c>
      <c r="I790" t="s">
        <v>133</v>
      </c>
      <c r="J790" t="s">
        <v>15</v>
      </c>
      <c r="K790">
        <v>1350</v>
      </c>
      <c r="L790" s="7">
        <f t="shared" si="24"/>
        <v>12408</v>
      </c>
      <c r="M790" s="7">
        <f>dataset!$L790-T790</f>
        <v>4308</v>
      </c>
      <c r="N790" s="7">
        <f>dataset!$M790/dataset!$L790*100</f>
        <v>34.719535783365565</v>
      </c>
      <c r="O790" s="25">
        <f>dataset!$K790*dataset!$G790</f>
        <v>8100</v>
      </c>
      <c r="P790"/>
      <c r="T790">
        <f>dataset!$K790*dataset!$G790</f>
        <v>8100</v>
      </c>
    </row>
    <row r="791" spans="1:20" x14ac:dyDescent="0.35">
      <c r="A791" s="2">
        <v>45812</v>
      </c>
      <c r="B791">
        <f t="shared" si="25"/>
        <v>4</v>
      </c>
      <c r="C791" t="s">
        <v>29</v>
      </c>
      <c r="D791" t="s">
        <v>27</v>
      </c>
      <c r="E791" t="s">
        <v>42</v>
      </c>
      <c r="F791" t="s">
        <v>37</v>
      </c>
      <c r="G791">
        <v>35</v>
      </c>
      <c r="H791">
        <v>1187</v>
      </c>
      <c r="I791" t="s">
        <v>43</v>
      </c>
      <c r="J791" t="s">
        <v>25</v>
      </c>
      <c r="K791">
        <v>700</v>
      </c>
      <c r="L791" s="7">
        <f t="shared" si="24"/>
        <v>41545</v>
      </c>
      <c r="M791" s="7">
        <f>dataset!$L791-T791</f>
        <v>17045</v>
      </c>
      <c r="N791" s="7">
        <f>dataset!$M791/dataset!$L791*100</f>
        <v>41.027801179443976</v>
      </c>
      <c r="O791" s="25">
        <f>dataset!$K791*dataset!$G791</f>
        <v>24500</v>
      </c>
      <c r="P791"/>
      <c r="T791">
        <f>dataset!$K791*dataset!$G791</f>
        <v>24500</v>
      </c>
    </row>
    <row r="792" spans="1:20" x14ac:dyDescent="0.35">
      <c r="A792" s="2">
        <v>45833</v>
      </c>
      <c r="B792">
        <f t="shared" si="25"/>
        <v>25</v>
      </c>
      <c r="C792" t="s">
        <v>20</v>
      </c>
      <c r="D792" t="s">
        <v>16</v>
      </c>
      <c r="E792" t="s">
        <v>30</v>
      </c>
      <c r="F792" t="s">
        <v>18</v>
      </c>
      <c r="G792">
        <v>31</v>
      </c>
      <c r="H792">
        <v>1585</v>
      </c>
      <c r="I792" t="s">
        <v>134</v>
      </c>
      <c r="J792" t="s">
        <v>15</v>
      </c>
      <c r="K792">
        <v>1100</v>
      </c>
      <c r="L792" s="7">
        <f t="shared" si="24"/>
        <v>49135</v>
      </c>
      <c r="M792" s="7">
        <f>dataset!$L792-T792</f>
        <v>15035</v>
      </c>
      <c r="N792" s="7">
        <f>dataset!$M792/dataset!$L792*100</f>
        <v>30.5993690851735</v>
      </c>
      <c r="O792" s="25">
        <f>dataset!$K792*dataset!$G792</f>
        <v>34100</v>
      </c>
      <c r="P792"/>
      <c r="T792">
        <f>dataset!$K792*dataset!$G792</f>
        <v>34100</v>
      </c>
    </row>
    <row r="793" spans="1:20" x14ac:dyDescent="0.35">
      <c r="A793" s="2">
        <v>45831</v>
      </c>
      <c r="B793">
        <f t="shared" si="25"/>
        <v>23</v>
      </c>
      <c r="C793" t="s">
        <v>20</v>
      </c>
      <c r="D793" t="s">
        <v>27</v>
      </c>
      <c r="E793" t="s">
        <v>39</v>
      </c>
      <c r="F793" t="s">
        <v>23</v>
      </c>
      <c r="G793">
        <v>16</v>
      </c>
      <c r="H793">
        <v>327</v>
      </c>
      <c r="I793" t="s">
        <v>135</v>
      </c>
      <c r="J793" t="s">
        <v>15</v>
      </c>
      <c r="K793">
        <v>250</v>
      </c>
      <c r="L793" s="7">
        <f t="shared" si="24"/>
        <v>5232</v>
      </c>
      <c r="M793" s="7">
        <f>dataset!$L793-T793</f>
        <v>1232</v>
      </c>
      <c r="N793" s="7">
        <f>dataset!$M793/dataset!$L793*100</f>
        <v>23.547400611620795</v>
      </c>
      <c r="O793" s="25">
        <f>dataset!$K793*dataset!$G793</f>
        <v>4000</v>
      </c>
      <c r="P793"/>
      <c r="T793">
        <f>dataset!$K793*dataset!$G793</f>
        <v>4000</v>
      </c>
    </row>
    <row r="794" spans="1:20" x14ac:dyDescent="0.35">
      <c r="A794" s="2">
        <v>45752</v>
      </c>
      <c r="B794">
        <f t="shared" si="25"/>
        <v>5</v>
      </c>
      <c r="C794" t="s">
        <v>20</v>
      </c>
      <c r="D794" t="s">
        <v>27</v>
      </c>
      <c r="E794" t="s">
        <v>54</v>
      </c>
      <c r="F794" t="s">
        <v>18</v>
      </c>
      <c r="G794">
        <v>39</v>
      </c>
      <c r="H794">
        <v>1770</v>
      </c>
      <c r="I794" t="s">
        <v>136</v>
      </c>
      <c r="J794" t="s">
        <v>15</v>
      </c>
      <c r="K794">
        <v>1250</v>
      </c>
      <c r="L794" s="7">
        <f t="shared" si="24"/>
        <v>69030</v>
      </c>
      <c r="M794" s="7">
        <f>dataset!$L794-T794</f>
        <v>20280</v>
      </c>
      <c r="N794" s="7">
        <f>dataset!$M794/dataset!$L794*100</f>
        <v>29.378531073446329</v>
      </c>
      <c r="O794" s="25">
        <f>dataset!$K794*dataset!$G794</f>
        <v>48750</v>
      </c>
      <c r="P794"/>
      <c r="T794">
        <f>dataset!$K794*dataset!$G794</f>
        <v>48750</v>
      </c>
    </row>
    <row r="795" spans="1:20" x14ac:dyDescent="0.35">
      <c r="A795" s="2">
        <v>45813</v>
      </c>
      <c r="B795">
        <f t="shared" si="25"/>
        <v>5</v>
      </c>
      <c r="C795" t="s">
        <v>29</v>
      </c>
      <c r="D795" t="s">
        <v>11</v>
      </c>
      <c r="E795" t="s">
        <v>75</v>
      </c>
      <c r="F795" t="s">
        <v>52</v>
      </c>
      <c r="G795">
        <v>40</v>
      </c>
      <c r="H795">
        <v>765</v>
      </c>
      <c r="I795" t="s">
        <v>137</v>
      </c>
      <c r="J795" t="s">
        <v>15</v>
      </c>
      <c r="K795">
        <v>450</v>
      </c>
      <c r="L795" s="7">
        <f t="shared" si="24"/>
        <v>30600</v>
      </c>
      <c r="M795" s="7">
        <f>dataset!$L795-T795</f>
        <v>12600</v>
      </c>
      <c r="N795" s="7">
        <f>dataset!$M795/dataset!$L795*100</f>
        <v>41.17647058823529</v>
      </c>
      <c r="O795" s="25">
        <f>dataset!$K795*dataset!$G795</f>
        <v>18000</v>
      </c>
      <c r="P795"/>
      <c r="T795">
        <f>dataset!$K795*dataset!$G795</f>
        <v>18000</v>
      </c>
    </row>
    <row r="796" spans="1:20" x14ac:dyDescent="0.35">
      <c r="A796" s="2">
        <v>45796</v>
      </c>
      <c r="B796">
        <f t="shared" si="25"/>
        <v>19</v>
      </c>
      <c r="C796" t="s">
        <v>35</v>
      </c>
      <c r="D796" t="s">
        <v>33</v>
      </c>
      <c r="E796" t="s">
        <v>75</v>
      </c>
      <c r="F796" t="s">
        <v>31</v>
      </c>
      <c r="G796">
        <v>45</v>
      </c>
      <c r="H796">
        <v>2757</v>
      </c>
      <c r="I796" t="s">
        <v>138</v>
      </c>
      <c r="J796" t="s">
        <v>15</v>
      </c>
      <c r="K796">
        <v>2100</v>
      </c>
      <c r="L796" s="7">
        <f t="shared" si="24"/>
        <v>124065</v>
      </c>
      <c r="M796" s="7">
        <f>dataset!$L796-T796</f>
        <v>29565</v>
      </c>
      <c r="N796" s="7">
        <f>dataset!$M796/dataset!$L796*100</f>
        <v>23.830250272034821</v>
      </c>
      <c r="O796" s="25">
        <f>dataset!$K796*dataset!$G796</f>
        <v>94500</v>
      </c>
      <c r="P796"/>
      <c r="T796">
        <f>dataset!$K796*dataset!$G796</f>
        <v>94500</v>
      </c>
    </row>
    <row r="797" spans="1:20" x14ac:dyDescent="0.35">
      <c r="A797" s="2">
        <v>45806</v>
      </c>
      <c r="B797">
        <f t="shared" si="25"/>
        <v>29</v>
      </c>
      <c r="C797" t="s">
        <v>26</v>
      </c>
      <c r="D797" t="s">
        <v>27</v>
      </c>
      <c r="E797" t="s">
        <v>17</v>
      </c>
      <c r="F797" t="s">
        <v>59</v>
      </c>
      <c r="G797">
        <v>21</v>
      </c>
      <c r="H797">
        <v>1628</v>
      </c>
      <c r="I797" t="s">
        <v>139</v>
      </c>
      <c r="J797" t="s">
        <v>25</v>
      </c>
      <c r="K797">
        <v>1450</v>
      </c>
      <c r="L797" s="7">
        <f t="shared" si="24"/>
        <v>34188</v>
      </c>
      <c r="M797" s="7">
        <f>dataset!$L797-T797</f>
        <v>3738</v>
      </c>
      <c r="N797" s="7">
        <f>dataset!$M797/dataset!$L797*100</f>
        <v>10.933660933660933</v>
      </c>
      <c r="O797" s="25">
        <f>dataset!$K797*dataset!$G797</f>
        <v>30450</v>
      </c>
      <c r="P797"/>
      <c r="T797">
        <f>dataset!$K797*dataset!$G797</f>
        <v>30450</v>
      </c>
    </row>
    <row r="798" spans="1:20" x14ac:dyDescent="0.35">
      <c r="A798" s="2">
        <v>45786</v>
      </c>
      <c r="B798">
        <f t="shared" si="25"/>
        <v>9</v>
      </c>
      <c r="C798" t="s">
        <v>20</v>
      </c>
      <c r="D798" t="s">
        <v>21</v>
      </c>
      <c r="E798" t="s">
        <v>64</v>
      </c>
      <c r="F798" t="s">
        <v>56</v>
      </c>
      <c r="G798">
        <v>17</v>
      </c>
      <c r="H798">
        <v>2898</v>
      </c>
      <c r="I798" t="s">
        <v>140</v>
      </c>
      <c r="J798" t="s">
        <v>15</v>
      </c>
      <c r="K798">
        <v>2400</v>
      </c>
      <c r="L798" s="7">
        <f t="shared" si="24"/>
        <v>49266</v>
      </c>
      <c r="M798" s="7">
        <f>dataset!$L798-T798</f>
        <v>8466</v>
      </c>
      <c r="N798" s="7">
        <f>dataset!$M798/dataset!$L798*100</f>
        <v>17.184265010351968</v>
      </c>
      <c r="O798" s="25">
        <f>dataset!$K798*dataset!$G798</f>
        <v>40800</v>
      </c>
      <c r="P798"/>
      <c r="T798">
        <f>dataset!$K798*dataset!$G798</f>
        <v>40800</v>
      </c>
    </row>
    <row r="799" spans="1:20" x14ac:dyDescent="0.35">
      <c r="A799" s="2">
        <v>45783</v>
      </c>
      <c r="B799">
        <f t="shared" si="25"/>
        <v>6</v>
      </c>
      <c r="C799" t="s">
        <v>10</v>
      </c>
      <c r="D799" t="s">
        <v>21</v>
      </c>
      <c r="E799" t="s">
        <v>17</v>
      </c>
      <c r="F799" t="s">
        <v>52</v>
      </c>
      <c r="G799">
        <v>11</v>
      </c>
      <c r="H799">
        <v>1313</v>
      </c>
      <c r="I799" t="s">
        <v>141</v>
      </c>
      <c r="J799" t="s">
        <v>15</v>
      </c>
      <c r="K799">
        <v>950</v>
      </c>
      <c r="L799" s="7">
        <f t="shared" si="24"/>
        <v>14443</v>
      </c>
      <c r="M799" s="7">
        <f>dataset!$L799-T799</f>
        <v>3993</v>
      </c>
      <c r="N799" s="7">
        <f>dataset!$M799/dataset!$L799*100</f>
        <v>27.646610814927648</v>
      </c>
      <c r="O799" s="25">
        <f>dataset!$K799*dataset!$G799</f>
        <v>10450</v>
      </c>
      <c r="P799"/>
      <c r="T799">
        <f>dataset!$K799*dataset!$G799</f>
        <v>10450</v>
      </c>
    </row>
    <row r="800" spans="1:20" x14ac:dyDescent="0.35">
      <c r="A800" s="2">
        <v>45812</v>
      </c>
      <c r="B800">
        <f t="shared" si="25"/>
        <v>4</v>
      </c>
      <c r="C800" t="s">
        <v>29</v>
      </c>
      <c r="D800" t="s">
        <v>66</v>
      </c>
      <c r="E800" t="s">
        <v>67</v>
      </c>
      <c r="F800" t="s">
        <v>18</v>
      </c>
      <c r="G800">
        <v>34</v>
      </c>
      <c r="H800">
        <v>1890</v>
      </c>
      <c r="I800" t="s">
        <v>142</v>
      </c>
      <c r="J800" t="s">
        <v>15</v>
      </c>
      <c r="K800">
        <v>1200</v>
      </c>
      <c r="L800" s="7">
        <f t="shared" si="24"/>
        <v>64260</v>
      </c>
      <c r="M800" s="7">
        <f>dataset!$L800-T800</f>
        <v>23460</v>
      </c>
      <c r="N800" s="7">
        <f>dataset!$M800/dataset!$L800*100</f>
        <v>36.507936507936506</v>
      </c>
      <c r="O800" s="25">
        <f>dataset!$K800*dataset!$G800</f>
        <v>40800</v>
      </c>
      <c r="P800"/>
      <c r="T800">
        <f>dataset!$K800*dataset!$G800</f>
        <v>40800</v>
      </c>
    </row>
    <row r="801" spans="1:20" x14ac:dyDescent="0.35">
      <c r="A801" s="2">
        <v>45805</v>
      </c>
      <c r="B801">
        <f t="shared" si="25"/>
        <v>28</v>
      </c>
      <c r="C801" t="s">
        <v>26</v>
      </c>
      <c r="D801" t="s">
        <v>21</v>
      </c>
      <c r="E801" t="s">
        <v>64</v>
      </c>
      <c r="F801" t="s">
        <v>18</v>
      </c>
      <c r="G801">
        <v>35</v>
      </c>
      <c r="H801">
        <v>324</v>
      </c>
      <c r="I801" t="s">
        <v>143</v>
      </c>
      <c r="J801" t="s">
        <v>15</v>
      </c>
      <c r="K801">
        <v>200</v>
      </c>
      <c r="L801" s="7">
        <f t="shared" si="24"/>
        <v>11340</v>
      </c>
      <c r="M801" s="7">
        <f>dataset!$L801-T801</f>
        <v>4340</v>
      </c>
      <c r="N801" s="7">
        <f>dataset!$M801/dataset!$L801*100</f>
        <v>38.271604938271601</v>
      </c>
      <c r="O801" s="25">
        <f>dataset!$K801*dataset!$G801</f>
        <v>7000</v>
      </c>
      <c r="P801"/>
      <c r="T801">
        <f>dataset!$K801*dataset!$G801</f>
        <v>7000</v>
      </c>
    </row>
  </sheetData>
  <sortState xmlns:xlrd2="http://schemas.microsoft.com/office/spreadsheetml/2017/richdata2" ref="A1:L801">
    <sortCondition descending="1" ref="A1:A801"/>
  </sortState>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A29" sqref="A29"/>
    </sheetView>
  </sheetViews>
  <sheetFormatPr defaultRowHeight="14.5" x14ac:dyDescent="0.35"/>
  <cols>
    <col min="1" max="1" width="75.08984375" customWidth="1"/>
  </cols>
  <sheetData>
    <row r="1" spans="1:5" x14ac:dyDescent="0.35">
      <c r="A1" s="1" t="s">
        <v>845</v>
      </c>
    </row>
    <row r="2" spans="1:5" x14ac:dyDescent="0.35">
      <c r="A2" t="s">
        <v>863</v>
      </c>
    </row>
    <row r="3" spans="1:5" x14ac:dyDescent="0.35">
      <c r="A3" t="s">
        <v>846</v>
      </c>
    </row>
    <row r="4" spans="1:5" x14ac:dyDescent="0.35">
      <c r="A4" t="s">
        <v>847</v>
      </c>
    </row>
    <row r="5" spans="1:5" x14ac:dyDescent="0.35">
      <c r="A5" t="s">
        <v>848</v>
      </c>
    </row>
    <row r="6" spans="1:5" x14ac:dyDescent="0.35">
      <c r="A6" t="s">
        <v>849</v>
      </c>
    </row>
    <row r="7" spans="1:5" x14ac:dyDescent="0.35">
      <c r="A7" t="s">
        <v>850</v>
      </c>
    </row>
    <row r="8" spans="1:5" x14ac:dyDescent="0.35">
      <c r="A8" t="s">
        <v>851</v>
      </c>
    </row>
    <row r="9" spans="1:5" x14ac:dyDescent="0.35">
      <c r="A9" t="s">
        <v>852</v>
      </c>
    </row>
    <row r="10" spans="1:5" x14ac:dyDescent="0.35">
      <c r="A10" t="s">
        <v>853</v>
      </c>
    </row>
    <row r="11" spans="1:5" x14ac:dyDescent="0.35">
      <c r="A11" t="s">
        <v>854</v>
      </c>
    </row>
    <row r="12" spans="1:5" x14ac:dyDescent="0.35">
      <c r="A12" t="s">
        <v>855</v>
      </c>
      <c r="B12" t="s">
        <v>896</v>
      </c>
    </row>
    <row r="13" spans="1:5" x14ac:dyDescent="0.35">
      <c r="A13" t="s">
        <v>856</v>
      </c>
      <c r="B13" t="s">
        <v>896</v>
      </c>
    </row>
    <row r="14" spans="1:5" x14ac:dyDescent="0.35">
      <c r="A14" t="s">
        <v>857</v>
      </c>
      <c r="E14" t="s">
        <v>880</v>
      </c>
    </row>
    <row r="15" spans="1:5" x14ac:dyDescent="0.35">
      <c r="A15" t="s">
        <v>858</v>
      </c>
    </row>
    <row r="16" spans="1:5" x14ac:dyDescent="0.35">
      <c r="A16" t="s">
        <v>859</v>
      </c>
    </row>
    <row r="17" spans="1:1" x14ac:dyDescent="0.35">
      <c r="A17" t="s">
        <v>865</v>
      </c>
    </row>
    <row r="18" spans="1:1" x14ac:dyDescent="0.35">
      <c r="A18" t="s">
        <v>860</v>
      </c>
    </row>
    <row r="19" spans="1:1" x14ac:dyDescent="0.35">
      <c r="A19" t="s">
        <v>861</v>
      </c>
    </row>
    <row r="20" spans="1:1" x14ac:dyDescent="0.35">
      <c r="A20" t="s">
        <v>864</v>
      </c>
    </row>
    <row r="21" spans="1:1" x14ac:dyDescent="0.35">
      <c r="A21" t="s">
        <v>862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5E589-29D4-42BF-B59F-46E7DC0330D4}">
  <sheetPr>
    <tabColor rgb="FFB085F5"/>
  </sheetPr>
  <dimension ref="A2:Y141"/>
  <sheetViews>
    <sheetView zoomScale="66" zoomScaleNormal="66" workbookViewId="0">
      <selection activeCell="G86" sqref="G86"/>
    </sheetView>
  </sheetViews>
  <sheetFormatPr defaultRowHeight="14.5" x14ac:dyDescent="0.35"/>
  <cols>
    <col min="1" max="4" width="13.90625" bestFit="1" customWidth="1"/>
    <col min="5" max="5" width="22" bestFit="1" customWidth="1"/>
    <col min="6" max="6" width="13.90625" bestFit="1" customWidth="1"/>
    <col min="7" max="7" width="16.08984375" bestFit="1" customWidth="1"/>
    <col min="8" max="9" width="13.90625" bestFit="1" customWidth="1"/>
    <col min="10" max="10" width="16.08984375" bestFit="1" customWidth="1"/>
    <col min="11" max="11" width="7.26953125" bestFit="1" customWidth="1"/>
    <col min="12" max="13" width="13.90625" bestFit="1" customWidth="1"/>
    <col min="14" max="14" width="15.1796875" bestFit="1" customWidth="1"/>
    <col min="15" max="15" width="13.90625" bestFit="1" customWidth="1"/>
    <col min="16" max="16" width="22.81640625" bestFit="1" customWidth="1"/>
    <col min="17" max="17" width="22.453125" bestFit="1" customWidth="1"/>
    <col min="18" max="19" width="13.90625" bestFit="1" customWidth="1"/>
    <col min="20" max="20" width="16.08984375" bestFit="1" customWidth="1"/>
    <col min="21" max="23" width="8.54296875" bestFit="1" customWidth="1"/>
    <col min="24" max="24" width="13.90625" bestFit="1" customWidth="1"/>
    <col min="25" max="25" width="16.08984375" bestFit="1" customWidth="1"/>
    <col min="26" max="26" width="8.54296875" bestFit="1" customWidth="1"/>
    <col min="27" max="27" width="8.26953125" bestFit="1" customWidth="1"/>
    <col min="28" max="29" width="8.54296875" bestFit="1" customWidth="1"/>
    <col min="30" max="30" width="8.26953125" bestFit="1" customWidth="1"/>
    <col min="31" max="31" width="8.54296875" bestFit="1" customWidth="1"/>
    <col min="32" max="32" width="8.26953125" bestFit="1" customWidth="1"/>
    <col min="33" max="35" width="8.54296875" bestFit="1" customWidth="1"/>
    <col min="36" max="36" width="8.26953125" bestFit="1" customWidth="1"/>
    <col min="37" max="42" width="8.54296875" bestFit="1" customWidth="1"/>
    <col min="43" max="45" width="8.26953125" bestFit="1" customWidth="1"/>
    <col min="46" max="49" width="8.54296875" bestFit="1" customWidth="1"/>
    <col min="50" max="50" width="8.26953125" bestFit="1" customWidth="1"/>
    <col min="51" max="51" width="10.90625" bestFit="1" customWidth="1"/>
    <col min="52" max="73" width="7.26953125" bestFit="1" customWidth="1"/>
    <col min="74" max="74" width="6.26953125" bestFit="1" customWidth="1"/>
    <col min="75" max="99" width="7.26953125" bestFit="1" customWidth="1"/>
    <col min="100" max="100" width="10.7265625" bestFit="1" customWidth="1"/>
  </cols>
  <sheetData>
    <row r="2" spans="1:25" x14ac:dyDescent="0.35">
      <c r="B2" s="3" t="s">
        <v>888</v>
      </c>
    </row>
    <row r="3" spans="1:25" x14ac:dyDescent="0.35">
      <c r="A3" s="4" t="s">
        <v>866</v>
      </c>
      <c r="B3" t="s">
        <v>868</v>
      </c>
    </row>
    <row r="4" spans="1:25" x14ac:dyDescent="0.35">
      <c r="A4" s="5" t="s">
        <v>25</v>
      </c>
      <c r="B4">
        <v>385</v>
      </c>
    </row>
    <row r="5" spans="1:25" x14ac:dyDescent="0.35">
      <c r="A5" s="5" t="s">
        <v>15</v>
      </c>
      <c r="B5">
        <v>415</v>
      </c>
    </row>
    <row r="7" spans="1:25" x14ac:dyDescent="0.35">
      <c r="L7">
        <v>164</v>
      </c>
    </row>
    <row r="8" spans="1:25" x14ac:dyDescent="0.35">
      <c r="X8" s="4" t="s">
        <v>866</v>
      </c>
      <c r="Y8" t="s">
        <v>874</v>
      </c>
    </row>
    <row r="9" spans="1:25" x14ac:dyDescent="0.35">
      <c r="F9" s="4" t="s">
        <v>866</v>
      </c>
      <c r="G9" t="s">
        <v>874</v>
      </c>
      <c r="X9" s="5" t="s">
        <v>25</v>
      </c>
      <c r="Y9" s="7">
        <v>17762638</v>
      </c>
    </row>
    <row r="10" spans="1:25" x14ac:dyDescent="0.35">
      <c r="F10" s="5" t="s">
        <v>10</v>
      </c>
      <c r="G10" s="7">
        <v>7682927</v>
      </c>
      <c r="X10" s="5" t="s">
        <v>15</v>
      </c>
      <c r="Y10" s="7">
        <v>18251437</v>
      </c>
    </row>
    <row r="11" spans="1:25" x14ac:dyDescent="0.35">
      <c r="C11" s="3" t="s">
        <v>889</v>
      </c>
      <c r="F11" s="5" t="s">
        <v>20</v>
      </c>
      <c r="G11" s="7">
        <v>7629861</v>
      </c>
      <c r="X11" s="5" t="s">
        <v>867</v>
      </c>
      <c r="Y11">
        <v>36014075</v>
      </c>
    </row>
    <row r="12" spans="1:25" x14ac:dyDescent="0.35">
      <c r="B12" s="4" t="s">
        <v>866</v>
      </c>
      <c r="C12" t="s">
        <v>872</v>
      </c>
      <c r="F12" s="5" t="s">
        <v>26</v>
      </c>
      <c r="G12" s="7">
        <v>7306128</v>
      </c>
    </row>
    <row r="13" spans="1:25" x14ac:dyDescent="0.35">
      <c r="B13" s="5" t="s">
        <v>20</v>
      </c>
      <c r="C13">
        <v>178</v>
      </c>
      <c r="F13" s="5" t="s">
        <v>29</v>
      </c>
      <c r="G13" s="7">
        <v>7147173</v>
      </c>
      <c r="S13" s="3" t="s">
        <v>900</v>
      </c>
    </row>
    <row r="14" spans="1:25" x14ac:dyDescent="0.35">
      <c r="B14" s="5" t="s">
        <v>26</v>
      </c>
      <c r="C14">
        <v>164</v>
      </c>
      <c r="F14" s="5" t="s">
        <v>35</v>
      </c>
      <c r="G14" s="7">
        <v>6247986</v>
      </c>
      <c r="R14" s="4" t="s">
        <v>866</v>
      </c>
      <c r="S14" t="s">
        <v>883</v>
      </c>
    </row>
    <row r="15" spans="1:25" x14ac:dyDescent="0.35">
      <c r="B15" s="5" t="s">
        <v>29</v>
      </c>
      <c r="C15">
        <v>157</v>
      </c>
      <c r="R15" s="5" t="s">
        <v>33</v>
      </c>
      <c r="S15" s="7">
        <v>1553831</v>
      </c>
    </row>
    <row r="16" spans="1:25" x14ac:dyDescent="0.35">
      <c r="B16" s="5" t="s">
        <v>10</v>
      </c>
      <c r="C16">
        <v>153</v>
      </c>
      <c r="R16" s="5" t="s">
        <v>11</v>
      </c>
      <c r="S16" s="7">
        <v>1500760</v>
      </c>
    </row>
    <row r="17" spans="2:19" x14ac:dyDescent="0.35">
      <c r="B17" s="5" t="s">
        <v>35</v>
      </c>
      <c r="C17">
        <v>148</v>
      </c>
      <c r="R17" s="5" t="s">
        <v>66</v>
      </c>
      <c r="S17" s="7">
        <v>1337307</v>
      </c>
    </row>
    <row r="18" spans="2:19" x14ac:dyDescent="0.35">
      <c r="N18" s="4" t="s">
        <v>866</v>
      </c>
      <c r="O18" t="s">
        <v>998</v>
      </c>
      <c r="R18" s="5" t="s">
        <v>36</v>
      </c>
      <c r="S18" s="7">
        <v>1324683</v>
      </c>
    </row>
    <row r="19" spans="2:19" x14ac:dyDescent="0.35">
      <c r="N19" s="5" t="s">
        <v>31</v>
      </c>
      <c r="O19">
        <v>2205150</v>
      </c>
      <c r="R19" s="5" t="s">
        <v>16</v>
      </c>
      <c r="S19" s="7">
        <v>1276119</v>
      </c>
    </row>
    <row r="20" spans="2:19" x14ac:dyDescent="0.35">
      <c r="F20" s="3" t="s">
        <v>890</v>
      </c>
      <c r="N20" s="5" t="s">
        <v>37</v>
      </c>
      <c r="O20">
        <v>2331000</v>
      </c>
      <c r="R20" s="5" t="s">
        <v>27</v>
      </c>
      <c r="S20" s="7">
        <v>1269858</v>
      </c>
    </row>
    <row r="21" spans="2:19" x14ac:dyDescent="0.35">
      <c r="E21" s="4" t="s">
        <v>866</v>
      </c>
      <c r="F21" t="s">
        <v>874</v>
      </c>
      <c r="N21" s="5" t="s">
        <v>40</v>
      </c>
      <c r="O21">
        <v>2988900</v>
      </c>
      <c r="R21" s="5" t="s">
        <v>21</v>
      </c>
      <c r="S21" s="7">
        <v>1217380</v>
      </c>
    </row>
    <row r="22" spans="2:19" x14ac:dyDescent="0.35">
      <c r="E22" s="5" t="s">
        <v>40</v>
      </c>
      <c r="F22" s="7">
        <v>4393772</v>
      </c>
      <c r="N22" s="5" t="s">
        <v>56</v>
      </c>
      <c r="O22">
        <v>2544700</v>
      </c>
      <c r="R22" s="5" t="s">
        <v>46</v>
      </c>
      <c r="S22" s="7">
        <v>1191687</v>
      </c>
    </row>
    <row r="23" spans="2:19" x14ac:dyDescent="0.35">
      <c r="E23" s="5" t="s">
        <v>23</v>
      </c>
      <c r="F23" s="7">
        <v>4275377</v>
      </c>
      <c r="I23" s="3" t="s">
        <v>893</v>
      </c>
      <c r="N23" s="5" t="s">
        <v>52</v>
      </c>
      <c r="O23">
        <v>2349150</v>
      </c>
      <c r="R23" s="5" t="s">
        <v>867</v>
      </c>
      <c r="S23" s="7">
        <v>10671625</v>
      </c>
    </row>
    <row r="24" spans="2:19" x14ac:dyDescent="0.35">
      <c r="C24" s="3" t="s">
        <v>892</v>
      </c>
      <c r="E24" s="5" t="s">
        <v>18</v>
      </c>
      <c r="F24" s="7">
        <v>4064541</v>
      </c>
      <c r="H24" s="4" t="s">
        <v>866</v>
      </c>
      <c r="I24" t="s">
        <v>874</v>
      </c>
      <c r="N24" s="5" t="s">
        <v>59</v>
      </c>
      <c r="O24">
        <v>2314750</v>
      </c>
      <c r="S24" s="13">
        <f>GETPIVOTDATA("profit",$R$14)</f>
        <v>10671625</v>
      </c>
    </row>
    <row r="25" spans="2:19" x14ac:dyDescent="0.35">
      <c r="B25" s="4" t="s">
        <v>866</v>
      </c>
      <c r="C25" t="s">
        <v>874</v>
      </c>
      <c r="E25" s="5" t="s">
        <v>56</v>
      </c>
      <c r="F25" s="7">
        <v>3816599</v>
      </c>
      <c r="H25" s="5" t="s">
        <v>662</v>
      </c>
      <c r="I25" s="7">
        <v>142704</v>
      </c>
      <c r="N25" s="5" t="s">
        <v>23</v>
      </c>
      <c r="O25">
        <v>2975350</v>
      </c>
    </row>
    <row r="26" spans="2:19" x14ac:dyDescent="0.35">
      <c r="B26" s="5" t="s">
        <v>871</v>
      </c>
      <c r="C26" s="7">
        <v>12683091</v>
      </c>
      <c r="E26" s="5" t="s">
        <v>52</v>
      </c>
      <c r="F26" s="7">
        <v>3445177</v>
      </c>
      <c r="H26" s="5" t="s">
        <v>599</v>
      </c>
      <c r="I26" s="7">
        <v>141365</v>
      </c>
      <c r="N26" s="5" t="s">
        <v>13</v>
      </c>
      <c r="O26">
        <v>2249350</v>
      </c>
    </row>
    <row r="27" spans="2:19" x14ac:dyDescent="0.35">
      <c r="B27" s="5" t="s">
        <v>869</v>
      </c>
      <c r="C27" s="7">
        <v>12111948</v>
      </c>
      <c r="E27" s="5" t="s">
        <v>47</v>
      </c>
      <c r="F27" s="7">
        <v>3290000</v>
      </c>
      <c r="H27" s="5" t="s">
        <v>668</v>
      </c>
      <c r="I27" s="7">
        <v>137690</v>
      </c>
      <c r="N27" s="5" t="s">
        <v>18</v>
      </c>
      <c r="O27">
        <v>3059250</v>
      </c>
    </row>
    <row r="28" spans="2:19" x14ac:dyDescent="0.35">
      <c r="B28" s="5" t="s">
        <v>870</v>
      </c>
      <c r="C28" s="7">
        <v>11219036</v>
      </c>
      <c r="E28" s="5" t="s">
        <v>37</v>
      </c>
      <c r="F28" s="7">
        <v>3266230</v>
      </c>
      <c r="H28" s="5" t="s">
        <v>127</v>
      </c>
      <c r="I28" s="7">
        <v>136758</v>
      </c>
      <c r="N28" s="5" t="s">
        <v>47</v>
      </c>
      <c r="O28">
        <v>2324850</v>
      </c>
    </row>
    <row r="29" spans="2:19" x14ac:dyDescent="0.35">
      <c r="B29" s="5" t="s">
        <v>867</v>
      </c>
      <c r="C29">
        <v>36014075</v>
      </c>
      <c r="E29" s="5" t="s">
        <v>13</v>
      </c>
      <c r="F29" s="7">
        <v>3224090</v>
      </c>
      <c r="H29" s="5" t="s">
        <v>632</v>
      </c>
      <c r="I29" s="7">
        <v>134504</v>
      </c>
      <c r="N29" s="5" t="s">
        <v>867</v>
      </c>
      <c r="O29">
        <v>25342450</v>
      </c>
    </row>
    <row r="30" spans="2:19" x14ac:dyDescent="0.35">
      <c r="E30" s="5" t="s">
        <v>59</v>
      </c>
      <c r="F30" s="7">
        <v>3152526</v>
      </c>
      <c r="H30" s="5" t="s">
        <v>867</v>
      </c>
      <c r="I30">
        <v>693021</v>
      </c>
      <c r="O30" s="13">
        <f>GETPIVOTDATA("COST PRICE",$N$18)</f>
        <v>25342450</v>
      </c>
    </row>
    <row r="31" spans="2:19" x14ac:dyDescent="0.35">
      <c r="E31" s="5" t="s">
        <v>31</v>
      </c>
      <c r="F31" s="7">
        <v>3085763</v>
      </c>
    </row>
    <row r="32" spans="2:19" x14ac:dyDescent="0.35">
      <c r="E32" s="5" t="s">
        <v>867</v>
      </c>
      <c r="F32">
        <v>36014075</v>
      </c>
    </row>
    <row r="33" spans="2:25" x14ac:dyDescent="0.35">
      <c r="F33" s="14">
        <f>GETPIVOTDATA("total sales",$E$21)</f>
        <v>36014075</v>
      </c>
    </row>
    <row r="35" spans="2:25" x14ac:dyDescent="0.35">
      <c r="M35" s="3" t="s">
        <v>903</v>
      </c>
      <c r="P35" s="3" t="s">
        <v>901</v>
      </c>
    </row>
    <row r="36" spans="2:25" x14ac:dyDescent="0.35">
      <c r="C36" s="3" t="s">
        <v>894</v>
      </c>
      <c r="L36" s="4" t="s">
        <v>866</v>
      </c>
      <c r="M36" t="s">
        <v>876</v>
      </c>
      <c r="O36" s="4" t="s">
        <v>866</v>
      </c>
      <c r="P36" t="s">
        <v>883</v>
      </c>
      <c r="V36" s="3" t="s">
        <v>997</v>
      </c>
    </row>
    <row r="37" spans="2:25" x14ac:dyDescent="0.35">
      <c r="B37" s="4" t="s">
        <v>866</v>
      </c>
      <c r="C37" t="s">
        <v>875</v>
      </c>
      <c r="G37" s="3" t="s">
        <v>895</v>
      </c>
      <c r="L37" s="5" t="s">
        <v>12</v>
      </c>
      <c r="M37" s="11">
        <v>1746.8219178082193</v>
      </c>
      <c r="O37" s="5" t="s">
        <v>40</v>
      </c>
      <c r="P37" s="7">
        <v>1404872</v>
      </c>
      <c r="S37" s="4" t="s">
        <v>866</v>
      </c>
      <c r="T37" t="s">
        <v>874</v>
      </c>
      <c r="X37" s="4" t="s">
        <v>866</v>
      </c>
      <c r="Y37" t="s">
        <v>874</v>
      </c>
    </row>
    <row r="38" spans="2:25" x14ac:dyDescent="0.35">
      <c r="B38" s="5" t="s">
        <v>25</v>
      </c>
      <c r="C38" s="7">
        <v>46136.722077922081</v>
      </c>
      <c r="F38" s="4" t="s">
        <v>866</v>
      </c>
      <c r="G38" t="s">
        <v>874</v>
      </c>
      <c r="L38" s="5" t="s">
        <v>67</v>
      </c>
      <c r="M38" s="11">
        <v>1713.131868131868</v>
      </c>
      <c r="O38" s="5" t="s">
        <v>23</v>
      </c>
      <c r="P38" s="7">
        <v>1300027</v>
      </c>
      <c r="S38" s="5" t="s">
        <v>906</v>
      </c>
      <c r="T38">
        <v>382652</v>
      </c>
      <c r="X38" s="5" t="s">
        <v>67</v>
      </c>
      <c r="Y38">
        <v>4283769</v>
      </c>
    </row>
    <row r="39" spans="2:25" x14ac:dyDescent="0.35">
      <c r="B39" s="5" t="s">
        <v>15</v>
      </c>
      <c r="C39" s="7">
        <v>43979.366265060242</v>
      </c>
      <c r="F39" s="5" t="s">
        <v>10</v>
      </c>
      <c r="G39">
        <v>7682927</v>
      </c>
      <c r="L39" s="5" t="s">
        <v>39</v>
      </c>
      <c r="M39" s="11">
        <v>1697.5</v>
      </c>
      <c r="O39" s="5" t="s">
        <v>56</v>
      </c>
      <c r="P39" s="7">
        <v>1271899</v>
      </c>
      <c r="S39" s="5" t="s">
        <v>909</v>
      </c>
      <c r="T39">
        <v>576316</v>
      </c>
      <c r="X39" s="5" t="s">
        <v>42</v>
      </c>
      <c r="Y39">
        <v>4080794</v>
      </c>
    </row>
    <row r="40" spans="2:25" x14ac:dyDescent="0.35">
      <c r="B40" s="5" t="s">
        <v>867</v>
      </c>
      <c r="C40">
        <v>45017.59375</v>
      </c>
      <c r="F40" s="10" t="s">
        <v>31</v>
      </c>
      <c r="G40">
        <v>498018</v>
      </c>
      <c r="L40" s="5" t="s">
        <v>30</v>
      </c>
      <c r="M40" s="11">
        <v>1680.0121951219512</v>
      </c>
      <c r="O40" s="5" t="s">
        <v>52</v>
      </c>
      <c r="P40" s="7">
        <v>1096027</v>
      </c>
      <c r="S40" s="5" t="s">
        <v>912</v>
      </c>
      <c r="T40">
        <v>258419</v>
      </c>
      <c r="X40" s="5" t="s">
        <v>54</v>
      </c>
      <c r="Y40">
        <v>3885703</v>
      </c>
    </row>
    <row r="41" spans="2:25" x14ac:dyDescent="0.35">
      <c r="F41" s="10" t="s">
        <v>37</v>
      </c>
      <c r="G41">
        <v>470761</v>
      </c>
      <c r="L41" s="5" t="s">
        <v>54</v>
      </c>
      <c r="M41" s="11">
        <v>1676.3132530120481</v>
      </c>
      <c r="O41" s="5" t="s">
        <v>18</v>
      </c>
      <c r="P41" s="7">
        <v>1005291</v>
      </c>
      <c r="S41" s="5" t="s">
        <v>915</v>
      </c>
      <c r="T41">
        <v>330496</v>
      </c>
      <c r="X41" s="5" t="s">
        <v>30</v>
      </c>
      <c r="Y41">
        <v>3770944</v>
      </c>
    </row>
    <row r="42" spans="2:25" x14ac:dyDescent="0.35">
      <c r="F42" s="10" t="s">
        <v>40</v>
      </c>
      <c r="G42">
        <v>1557049</v>
      </c>
      <c r="L42" s="5" t="s">
        <v>64</v>
      </c>
      <c r="M42" s="11">
        <v>1646.2375</v>
      </c>
      <c r="O42" s="5" t="s">
        <v>13</v>
      </c>
      <c r="P42" s="7">
        <v>974740</v>
      </c>
      <c r="S42" s="5" t="s">
        <v>918</v>
      </c>
      <c r="T42">
        <v>493937</v>
      </c>
      <c r="X42" s="5" t="s">
        <v>22</v>
      </c>
      <c r="Y42">
        <v>3514986</v>
      </c>
    </row>
    <row r="43" spans="2:25" x14ac:dyDescent="0.35">
      <c r="F43" s="10" t="s">
        <v>56</v>
      </c>
      <c r="G43">
        <v>844959</v>
      </c>
      <c r="L43" s="5" t="s">
        <v>22</v>
      </c>
      <c r="M43" s="11">
        <v>1639.3513513513512</v>
      </c>
      <c r="O43" s="5" t="s">
        <v>47</v>
      </c>
      <c r="P43" s="7">
        <v>965150</v>
      </c>
      <c r="S43" s="5" t="s">
        <v>921</v>
      </c>
      <c r="T43">
        <v>240245</v>
      </c>
      <c r="X43" s="5" t="s">
        <v>64</v>
      </c>
      <c r="Y43">
        <v>3396761</v>
      </c>
    </row>
    <row r="44" spans="2:25" x14ac:dyDescent="0.35">
      <c r="F44" s="10" t="s">
        <v>52</v>
      </c>
      <c r="G44">
        <v>582874</v>
      </c>
      <c r="L44" s="5" t="s">
        <v>17</v>
      </c>
      <c r="M44" s="11">
        <v>1596.9615384615386</v>
      </c>
      <c r="O44" s="5" t="s">
        <v>37</v>
      </c>
      <c r="P44" s="7">
        <v>935230</v>
      </c>
      <c r="S44" s="5" t="s">
        <v>924</v>
      </c>
      <c r="T44">
        <v>330311</v>
      </c>
      <c r="X44" s="5" t="s">
        <v>12</v>
      </c>
      <c r="Y44">
        <v>3385177</v>
      </c>
    </row>
    <row r="45" spans="2:25" x14ac:dyDescent="0.35">
      <c r="F45" s="10" t="s">
        <v>59</v>
      </c>
      <c r="G45">
        <v>639483</v>
      </c>
      <c r="L45" s="5" t="s">
        <v>42</v>
      </c>
      <c r="M45" s="11">
        <v>1536.2736842105264</v>
      </c>
      <c r="O45" s="5" t="s">
        <v>31</v>
      </c>
      <c r="P45" s="7">
        <v>880613</v>
      </c>
      <c r="S45" s="5" t="s">
        <v>927</v>
      </c>
      <c r="T45">
        <v>259972</v>
      </c>
      <c r="X45" s="5" t="s">
        <v>39</v>
      </c>
      <c r="Y45">
        <v>3337385</v>
      </c>
    </row>
    <row r="46" spans="2:25" x14ac:dyDescent="0.35">
      <c r="F46" s="10" t="s">
        <v>23</v>
      </c>
      <c r="G46">
        <v>533521</v>
      </c>
      <c r="L46" s="5" t="s">
        <v>75</v>
      </c>
      <c r="M46" s="11">
        <v>1447.0540540540539</v>
      </c>
      <c r="O46" s="5" t="s">
        <v>59</v>
      </c>
      <c r="P46" s="7">
        <v>837776</v>
      </c>
      <c r="S46" s="5" t="s">
        <v>930</v>
      </c>
      <c r="T46">
        <v>279530</v>
      </c>
      <c r="X46" s="5" t="s">
        <v>17</v>
      </c>
      <c r="Y46">
        <v>3205163</v>
      </c>
    </row>
    <row r="47" spans="2:25" x14ac:dyDescent="0.35">
      <c r="D47" s="3" t="s">
        <v>899</v>
      </c>
      <c r="F47" s="10" t="s">
        <v>13</v>
      </c>
      <c r="G47">
        <v>1257148</v>
      </c>
      <c r="L47" s="5" t="s">
        <v>867</v>
      </c>
      <c r="M47">
        <v>1637.16875</v>
      </c>
      <c r="O47" s="5" t="s">
        <v>867</v>
      </c>
      <c r="P47" s="7">
        <v>10671625</v>
      </c>
      <c r="S47" s="5" t="s">
        <v>933</v>
      </c>
      <c r="T47">
        <v>614736</v>
      </c>
      <c r="X47" s="5" t="s">
        <v>75</v>
      </c>
      <c r="Y47">
        <v>3153393</v>
      </c>
    </row>
    <row r="48" spans="2:25" x14ac:dyDescent="0.35">
      <c r="C48" s="4" t="s">
        <v>866</v>
      </c>
      <c r="D48" t="s">
        <v>898</v>
      </c>
      <c r="F48" s="10" t="s">
        <v>18</v>
      </c>
      <c r="G48">
        <v>895697</v>
      </c>
      <c r="P48" s="13">
        <f>GETPIVOTDATA("profit",$O$36)</f>
        <v>10671625</v>
      </c>
      <c r="S48" s="5" t="s">
        <v>936</v>
      </c>
      <c r="T48">
        <v>113443</v>
      </c>
      <c r="X48" s="5" t="s">
        <v>867</v>
      </c>
      <c r="Y48">
        <v>36014075</v>
      </c>
    </row>
    <row r="49" spans="3:20" x14ac:dyDescent="0.35">
      <c r="C49" s="5" t="s">
        <v>54</v>
      </c>
      <c r="D49" s="6">
        <v>30.846926392834213</v>
      </c>
      <c r="F49" s="10" t="s">
        <v>47</v>
      </c>
      <c r="G49">
        <v>403417</v>
      </c>
      <c r="S49" s="5" t="s">
        <v>939</v>
      </c>
      <c r="T49">
        <v>406186</v>
      </c>
    </row>
    <row r="50" spans="3:20" x14ac:dyDescent="0.35">
      <c r="C50" s="5" t="s">
        <v>67</v>
      </c>
      <c r="D50" s="6">
        <v>29.485418056082146</v>
      </c>
      <c r="F50" s="5" t="s">
        <v>20</v>
      </c>
      <c r="G50">
        <v>7629861</v>
      </c>
      <c r="S50" s="5" t="s">
        <v>942</v>
      </c>
      <c r="T50">
        <v>309313</v>
      </c>
    </row>
    <row r="51" spans="3:20" x14ac:dyDescent="0.35">
      <c r="C51" s="5" t="s">
        <v>75</v>
      </c>
      <c r="D51" s="6">
        <v>29.162296397061869</v>
      </c>
      <c r="F51" s="10" t="s">
        <v>31</v>
      </c>
      <c r="G51">
        <v>747595</v>
      </c>
      <c r="S51" s="5" t="s">
        <v>945</v>
      </c>
      <c r="T51">
        <v>369533</v>
      </c>
    </row>
    <row r="52" spans="3:20" x14ac:dyDescent="0.35">
      <c r="C52" s="5" t="s">
        <v>12</v>
      </c>
      <c r="D52" s="6">
        <v>29.163600479077871</v>
      </c>
      <c r="F52" s="10" t="s">
        <v>37</v>
      </c>
      <c r="G52">
        <v>990106</v>
      </c>
      <c r="S52" s="5" t="s">
        <v>948</v>
      </c>
      <c r="T52">
        <v>681126</v>
      </c>
    </row>
    <row r="53" spans="3:20" x14ac:dyDescent="0.35">
      <c r="C53" s="5" t="s">
        <v>30</v>
      </c>
      <c r="D53" s="6">
        <v>29.397068445837061</v>
      </c>
      <c r="F53" s="10" t="s">
        <v>40</v>
      </c>
      <c r="G53">
        <v>373047</v>
      </c>
      <c r="I53" s="3" t="s">
        <v>891</v>
      </c>
      <c r="S53" s="5" t="s">
        <v>951</v>
      </c>
      <c r="T53">
        <v>701727</v>
      </c>
    </row>
    <row r="54" spans="3:20" x14ac:dyDescent="0.35">
      <c r="C54" s="5" t="s">
        <v>22</v>
      </c>
      <c r="D54" s="6">
        <v>28.593296301291495</v>
      </c>
      <c r="F54" s="10" t="s">
        <v>56</v>
      </c>
      <c r="G54">
        <v>1000566</v>
      </c>
      <c r="H54" s="4" t="s">
        <v>866</v>
      </c>
      <c r="I54" t="s">
        <v>874</v>
      </c>
      <c r="N54" s="3" t="s">
        <v>897</v>
      </c>
      <c r="S54" s="5" t="s">
        <v>954</v>
      </c>
      <c r="T54">
        <v>168643</v>
      </c>
    </row>
    <row r="55" spans="3:20" x14ac:dyDescent="0.35">
      <c r="C55" s="5" t="s">
        <v>17</v>
      </c>
      <c r="D55" s="6">
        <v>29.39724269619186</v>
      </c>
      <c r="F55" s="10" t="s">
        <v>52</v>
      </c>
      <c r="G55">
        <v>615727</v>
      </c>
      <c r="H55" s="5" t="s">
        <v>33</v>
      </c>
      <c r="I55" s="7">
        <v>5214581</v>
      </c>
      <c r="M55" s="4" t="s">
        <v>866</v>
      </c>
      <c r="N55" t="s">
        <v>883</v>
      </c>
      <c r="S55" s="5" t="s">
        <v>957</v>
      </c>
      <c r="T55">
        <v>860954</v>
      </c>
    </row>
    <row r="56" spans="3:20" x14ac:dyDescent="0.35">
      <c r="C56" s="5" t="s">
        <v>42</v>
      </c>
      <c r="D56" s="6">
        <v>29.990141249347996</v>
      </c>
      <c r="F56" s="10" t="s">
        <v>59</v>
      </c>
      <c r="G56">
        <v>716303</v>
      </c>
      <c r="H56" s="5" t="s">
        <v>11</v>
      </c>
      <c r="I56" s="7">
        <v>4965010</v>
      </c>
      <c r="M56" s="5" t="s">
        <v>67</v>
      </c>
      <c r="N56" s="7">
        <v>1233069</v>
      </c>
      <c r="S56" s="5" t="s">
        <v>960</v>
      </c>
      <c r="T56">
        <v>561610</v>
      </c>
    </row>
    <row r="57" spans="3:20" x14ac:dyDescent="0.35">
      <c r="C57" s="5" t="s">
        <v>39</v>
      </c>
      <c r="D57" s="6">
        <v>30.75046897377317</v>
      </c>
      <c r="F57" s="10" t="s">
        <v>23</v>
      </c>
      <c r="G57">
        <v>947891</v>
      </c>
      <c r="H57" s="5" t="s">
        <v>36</v>
      </c>
      <c r="I57" s="7">
        <v>4533283</v>
      </c>
      <c r="M57" s="5" t="s">
        <v>54</v>
      </c>
      <c r="N57" s="7">
        <v>1191753</v>
      </c>
      <c r="S57" s="5" t="s">
        <v>963</v>
      </c>
      <c r="T57">
        <v>334464</v>
      </c>
    </row>
    <row r="58" spans="3:20" x14ac:dyDescent="0.35">
      <c r="C58" s="5" t="s">
        <v>64</v>
      </c>
      <c r="D58" s="6">
        <v>28.783859884971626</v>
      </c>
      <c r="F58" s="10" t="s">
        <v>13</v>
      </c>
      <c r="G58">
        <v>788128</v>
      </c>
      <c r="H58" s="5" t="s">
        <v>16</v>
      </c>
      <c r="I58" s="7">
        <v>4375469</v>
      </c>
      <c r="M58" s="5" t="s">
        <v>42</v>
      </c>
      <c r="N58" s="7">
        <v>1170844</v>
      </c>
      <c r="S58" s="5" t="s">
        <v>966</v>
      </c>
      <c r="T58">
        <v>602202</v>
      </c>
    </row>
    <row r="59" spans="3:20" x14ac:dyDescent="0.35">
      <c r="C59" s="5" t="s">
        <v>867</v>
      </c>
      <c r="D59" s="6">
        <v>29.567717761088808</v>
      </c>
      <c r="F59" s="10" t="s">
        <v>18</v>
      </c>
      <c r="G59">
        <v>773792</v>
      </c>
      <c r="H59" s="5" t="s">
        <v>66</v>
      </c>
      <c r="I59" s="7">
        <v>4327807</v>
      </c>
      <c r="M59" s="5" t="s">
        <v>30</v>
      </c>
      <c r="N59" s="7">
        <v>1152544</v>
      </c>
      <c r="S59" s="5" t="s">
        <v>969</v>
      </c>
      <c r="T59">
        <v>470792</v>
      </c>
    </row>
    <row r="60" spans="3:20" x14ac:dyDescent="0.35">
      <c r="F60" s="10" t="s">
        <v>47</v>
      </c>
      <c r="G60">
        <v>676706</v>
      </c>
      <c r="H60" s="5" t="s">
        <v>46</v>
      </c>
      <c r="I60" s="7">
        <v>4259237</v>
      </c>
      <c r="M60" s="5" t="s">
        <v>39</v>
      </c>
      <c r="N60" s="7">
        <v>1072235</v>
      </c>
      <c r="S60" s="5" t="s">
        <v>972</v>
      </c>
      <c r="T60">
        <v>420970</v>
      </c>
    </row>
    <row r="61" spans="3:20" x14ac:dyDescent="0.35">
      <c r="F61" s="5" t="s">
        <v>26</v>
      </c>
      <c r="G61">
        <v>7306128</v>
      </c>
      <c r="H61" s="5" t="s">
        <v>21</v>
      </c>
      <c r="I61" s="7">
        <v>4187580</v>
      </c>
      <c r="M61" s="5" t="s">
        <v>12</v>
      </c>
      <c r="N61" s="7">
        <v>1048627</v>
      </c>
      <c r="S61" s="5" t="s">
        <v>975</v>
      </c>
      <c r="T61">
        <v>260990</v>
      </c>
    </row>
    <row r="62" spans="3:20" x14ac:dyDescent="0.35">
      <c r="F62" s="10" t="s">
        <v>31</v>
      </c>
      <c r="G62">
        <v>773611</v>
      </c>
      <c r="H62" s="5" t="s">
        <v>27</v>
      </c>
      <c r="I62" s="7">
        <v>4151108</v>
      </c>
      <c r="M62" s="5" t="s">
        <v>22</v>
      </c>
      <c r="N62" s="7">
        <v>1006636</v>
      </c>
      <c r="S62" s="5" t="s">
        <v>978</v>
      </c>
      <c r="T62">
        <v>103489</v>
      </c>
    </row>
    <row r="63" spans="3:20" x14ac:dyDescent="0.35">
      <c r="F63" s="10" t="s">
        <v>37</v>
      </c>
      <c r="G63">
        <v>413187</v>
      </c>
      <c r="H63" s="5" t="s">
        <v>867</v>
      </c>
      <c r="I63">
        <v>36014075</v>
      </c>
      <c r="M63" s="5" t="s">
        <v>64</v>
      </c>
      <c r="N63" s="7">
        <v>950911</v>
      </c>
      <c r="S63" s="5" t="s">
        <v>981</v>
      </c>
      <c r="T63">
        <v>234109</v>
      </c>
    </row>
    <row r="64" spans="3:20" x14ac:dyDescent="0.35">
      <c r="F64" s="10" t="s">
        <v>40</v>
      </c>
      <c r="G64">
        <v>978653</v>
      </c>
      <c r="M64" s="5" t="s">
        <v>17</v>
      </c>
      <c r="N64" s="7">
        <v>940213</v>
      </c>
      <c r="S64" s="5" t="s">
        <v>984</v>
      </c>
      <c r="T64">
        <v>201817</v>
      </c>
    </row>
    <row r="65" spans="4:20" x14ac:dyDescent="0.35">
      <c r="F65" s="10" t="s">
        <v>56</v>
      </c>
      <c r="G65">
        <v>779458</v>
      </c>
      <c r="M65" s="5" t="s">
        <v>75</v>
      </c>
      <c r="N65" s="7">
        <v>904793</v>
      </c>
      <c r="S65" s="5" t="s">
        <v>987</v>
      </c>
      <c r="T65">
        <v>676887</v>
      </c>
    </row>
    <row r="66" spans="4:20" x14ac:dyDescent="0.35">
      <c r="E66" s="3" t="s">
        <v>885</v>
      </c>
      <c r="F66" s="10" t="s">
        <v>52</v>
      </c>
      <c r="G66">
        <v>762989</v>
      </c>
      <c r="M66" s="5" t="s">
        <v>867</v>
      </c>
      <c r="N66" s="7">
        <v>10671625</v>
      </c>
      <c r="S66" s="5" t="s">
        <v>990</v>
      </c>
      <c r="T66">
        <v>550935</v>
      </c>
    </row>
    <row r="67" spans="4:20" x14ac:dyDescent="0.35">
      <c r="D67" s="4" t="s">
        <v>866</v>
      </c>
      <c r="E67" t="s">
        <v>884</v>
      </c>
      <c r="F67" s="10" t="s">
        <v>59</v>
      </c>
      <c r="G67">
        <v>572533</v>
      </c>
      <c r="S67" s="5" t="s">
        <v>993</v>
      </c>
      <c r="T67">
        <v>316144</v>
      </c>
    </row>
    <row r="68" spans="4:20" x14ac:dyDescent="0.35">
      <c r="D68" s="5" t="s">
        <v>54</v>
      </c>
      <c r="E68">
        <v>2983</v>
      </c>
      <c r="F68" s="10" t="s">
        <v>23</v>
      </c>
      <c r="G68">
        <v>867074</v>
      </c>
      <c r="S68" s="5" t="s">
        <v>907</v>
      </c>
      <c r="T68">
        <v>961628</v>
      </c>
    </row>
    <row r="69" spans="4:20" x14ac:dyDescent="0.35">
      <c r="D69" s="5" t="s">
        <v>17</v>
      </c>
      <c r="E69">
        <v>2992</v>
      </c>
      <c r="F69" s="10" t="s">
        <v>13</v>
      </c>
      <c r="G69">
        <v>412374</v>
      </c>
      <c r="S69" s="5" t="s">
        <v>910</v>
      </c>
      <c r="T69">
        <v>320037</v>
      </c>
    </row>
    <row r="70" spans="4:20" x14ac:dyDescent="0.35">
      <c r="D70" s="5" t="s">
        <v>42</v>
      </c>
      <c r="E70">
        <v>2973</v>
      </c>
      <c r="F70" s="10" t="s">
        <v>18</v>
      </c>
      <c r="G70">
        <v>668293</v>
      </c>
      <c r="S70" s="5" t="s">
        <v>913</v>
      </c>
      <c r="T70">
        <v>203528</v>
      </c>
    </row>
    <row r="71" spans="4:20" x14ac:dyDescent="0.35">
      <c r="D71" s="5" t="s">
        <v>39</v>
      </c>
      <c r="E71">
        <v>2988</v>
      </c>
      <c r="F71" s="10" t="s">
        <v>47</v>
      </c>
      <c r="G71">
        <v>1077956</v>
      </c>
      <c r="S71" s="5" t="s">
        <v>916</v>
      </c>
      <c r="T71">
        <v>275465</v>
      </c>
    </row>
    <row r="72" spans="4:20" x14ac:dyDescent="0.35">
      <c r="D72" s="5" t="s">
        <v>64</v>
      </c>
      <c r="E72">
        <v>2898</v>
      </c>
      <c r="F72" s="5" t="s">
        <v>29</v>
      </c>
      <c r="G72">
        <v>7147173</v>
      </c>
      <c r="S72" s="5" t="s">
        <v>919</v>
      </c>
      <c r="T72">
        <v>419943</v>
      </c>
    </row>
    <row r="73" spans="4:20" x14ac:dyDescent="0.35">
      <c r="D73" s="5" t="s">
        <v>67</v>
      </c>
      <c r="E73">
        <v>2989</v>
      </c>
      <c r="F73" s="10" t="s">
        <v>31</v>
      </c>
      <c r="G73">
        <v>523179</v>
      </c>
      <c r="S73" s="5" t="s">
        <v>922</v>
      </c>
      <c r="T73">
        <v>375945</v>
      </c>
    </row>
    <row r="74" spans="4:20" x14ac:dyDescent="0.35">
      <c r="D74" s="5" t="s">
        <v>75</v>
      </c>
      <c r="E74">
        <v>2950</v>
      </c>
      <c r="F74" s="10" t="s">
        <v>37</v>
      </c>
      <c r="G74">
        <v>624947</v>
      </c>
      <c r="S74" s="5" t="s">
        <v>925</v>
      </c>
      <c r="T74">
        <v>167281</v>
      </c>
    </row>
    <row r="75" spans="4:20" x14ac:dyDescent="0.35">
      <c r="D75" s="5" t="s">
        <v>12</v>
      </c>
      <c r="E75">
        <v>2990</v>
      </c>
      <c r="F75" s="10" t="s">
        <v>40</v>
      </c>
      <c r="G75">
        <v>898683</v>
      </c>
      <c r="S75" s="5" t="s">
        <v>928</v>
      </c>
      <c r="T75">
        <v>445856</v>
      </c>
    </row>
    <row r="76" spans="4:20" x14ac:dyDescent="0.35">
      <c r="D76" s="5" t="s">
        <v>30</v>
      </c>
      <c r="E76">
        <v>2980</v>
      </c>
      <c r="F76" s="10" t="s">
        <v>56</v>
      </c>
      <c r="G76">
        <v>628057</v>
      </c>
      <c r="S76" s="5" t="s">
        <v>931</v>
      </c>
      <c r="T76">
        <v>434070</v>
      </c>
    </row>
    <row r="77" spans="4:20" x14ac:dyDescent="0.35">
      <c r="D77" s="5" t="s">
        <v>22</v>
      </c>
      <c r="E77">
        <v>2958</v>
      </c>
      <c r="F77" s="10" t="s">
        <v>52</v>
      </c>
      <c r="G77">
        <v>628384</v>
      </c>
      <c r="S77" s="5" t="s">
        <v>934</v>
      </c>
      <c r="T77">
        <v>104782</v>
      </c>
    </row>
    <row r="78" spans="4:20" x14ac:dyDescent="0.35">
      <c r="D78" s="5" t="s">
        <v>867</v>
      </c>
      <c r="E78">
        <v>2992</v>
      </c>
      <c r="F78" s="10" t="s">
        <v>59</v>
      </c>
      <c r="G78">
        <v>645698</v>
      </c>
      <c r="S78" s="5" t="s">
        <v>937</v>
      </c>
      <c r="T78">
        <v>216926</v>
      </c>
    </row>
    <row r="79" spans="4:20" x14ac:dyDescent="0.35">
      <c r="F79" s="10" t="s">
        <v>23</v>
      </c>
      <c r="G79">
        <v>1110661</v>
      </c>
      <c r="S79" s="5" t="s">
        <v>940</v>
      </c>
      <c r="T79">
        <v>188672</v>
      </c>
    </row>
    <row r="80" spans="4:20" x14ac:dyDescent="0.35">
      <c r="F80" s="10" t="s">
        <v>13</v>
      </c>
      <c r="G80">
        <v>454674</v>
      </c>
      <c r="S80" s="5" t="s">
        <v>943</v>
      </c>
      <c r="T80">
        <v>519631</v>
      </c>
    </row>
    <row r="81" spans="6:20" x14ac:dyDescent="0.35">
      <c r="F81" s="10" t="s">
        <v>18</v>
      </c>
      <c r="G81">
        <v>924635</v>
      </c>
      <c r="S81" s="5" t="s">
        <v>946</v>
      </c>
      <c r="T81">
        <v>465612</v>
      </c>
    </row>
    <row r="82" spans="6:20" x14ac:dyDescent="0.35">
      <c r="F82" s="10" t="s">
        <v>47</v>
      </c>
      <c r="G82">
        <v>708255</v>
      </c>
      <c r="J82" s="3" t="s">
        <v>905</v>
      </c>
      <c r="S82" s="5" t="s">
        <v>949</v>
      </c>
      <c r="T82">
        <v>289672</v>
      </c>
    </row>
    <row r="83" spans="6:20" x14ac:dyDescent="0.35">
      <c r="F83" s="5" t="s">
        <v>35</v>
      </c>
      <c r="G83">
        <v>6247986</v>
      </c>
      <c r="I83" s="4" t="s">
        <v>866</v>
      </c>
      <c r="J83" t="s">
        <v>874</v>
      </c>
      <c r="S83" s="5" t="s">
        <v>952</v>
      </c>
      <c r="T83">
        <v>148104</v>
      </c>
    </row>
    <row r="84" spans="6:20" x14ac:dyDescent="0.35">
      <c r="F84" s="10" t="s">
        <v>31</v>
      </c>
      <c r="G84">
        <v>543360</v>
      </c>
      <c r="I84" s="5" t="s">
        <v>67</v>
      </c>
      <c r="J84">
        <v>4283769</v>
      </c>
      <c r="S84" s="5" t="s">
        <v>955</v>
      </c>
      <c r="T84">
        <v>255912</v>
      </c>
    </row>
    <row r="85" spans="6:20" x14ac:dyDescent="0.35">
      <c r="F85" s="10" t="s">
        <v>37</v>
      </c>
      <c r="G85">
        <v>767229</v>
      </c>
      <c r="I85" s="5" t="s">
        <v>42</v>
      </c>
      <c r="J85">
        <v>4080794</v>
      </c>
      <c r="S85" s="5" t="s">
        <v>958</v>
      </c>
      <c r="T85">
        <v>382895</v>
      </c>
    </row>
    <row r="86" spans="6:20" x14ac:dyDescent="0.35">
      <c r="F86" s="10" t="s">
        <v>40</v>
      </c>
      <c r="G86">
        <v>586340</v>
      </c>
      <c r="I86" s="5" t="s">
        <v>54</v>
      </c>
      <c r="J86">
        <v>3885703</v>
      </c>
      <c r="S86" s="5" t="s">
        <v>961</v>
      </c>
      <c r="T86">
        <v>467347</v>
      </c>
    </row>
    <row r="87" spans="6:20" x14ac:dyDescent="0.35">
      <c r="F87" s="10" t="s">
        <v>56</v>
      </c>
      <c r="G87">
        <v>563559</v>
      </c>
      <c r="I87" s="5" t="s">
        <v>30</v>
      </c>
      <c r="J87">
        <v>3770944</v>
      </c>
      <c r="S87" s="5" t="s">
        <v>964</v>
      </c>
      <c r="T87">
        <v>328703</v>
      </c>
    </row>
    <row r="88" spans="6:20" x14ac:dyDescent="0.35">
      <c r="F88" s="10" t="s">
        <v>52</v>
      </c>
      <c r="G88">
        <v>855203</v>
      </c>
      <c r="I88" s="5" t="s">
        <v>22</v>
      </c>
      <c r="J88">
        <v>3514986</v>
      </c>
      <c r="P88" s="3" t="s">
        <v>887</v>
      </c>
      <c r="S88" s="5" t="s">
        <v>967</v>
      </c>
      <c r="T88">
        <v>353931</v>
      </c>
    </row>
    <row r="89" spans="6:20" x14ac:dyDescent="0.35">
      <c r="F89" s="10" t="s">
        <v>59</v>
      </c>
      <c r="G89">
        <v>578509</v>
      </c>
      <c r="I89" s="5" t="s">
        <v>64</v>
      </c>
      <c r="J89">
        <v>3396761</v>
      </c>
      <c r="P89" t="s">
        <v>886</v>
      </c>
      <c r="S89" s="5" t="s">
        <v>970</v>
      </c>
      <c r="T89">
        <v>417047</v>
      </c>
    </row>
    <row r="90" spans="6:20" x14ac:dyDescent="0.35">
      <c r="F90" s="10" t="s">
        <v>23</v>
      </c>
      <c r="G90">
        <v>816230</v>
      </c>
      <c r="I90" s="5" t="s">
        <v>12</v>
      </c>
      <c r="J90">
        <v>3385177</v>
      </c>
      <c r="P90">
        <v>800</v>
      </c>
      <c r="S90" s="5" t="s">
        <v>973</v>
      </c>
      <c r="T90">
        <v>656151</v>
      </c>
    </row>
    <row r="91" spans="6:20" x14ac:dyDescent="0.35">
      <c r="F91" s="10" t="s">
        <v>13</v>
      </c>
      <c r="G91">
        <v>311766</v>
      </c>
      <c r="I91" s="5" t="s">
        <v>39</v>
      </c>
      <c r="J91">
        <v>3337385</v>
      </c>
      <c r="S91" s="5" t="s">
        <v>976</v>
      </c>
      <c r="T91">
        <v>352246</v>
      </c>
    </row>
    <row r="92" spans="6:20" x14ac:dyDescent="0.35">
      <c r="F92" s="10" t="s">
        <v>18</v>
      </c>
      <c r="G92">
        <v>802124</v>
      </c>
      <c r="I92" s="5" t="s">
        <v>17</v>
      </c>
      <c r="J92">
        <v>3205163</v>
      </c>
      <c r="S92" s="5" t="s">
        <v>979</v>
      </c>
      <c r="T92">
        <v>232624</v>
      </c>
    </row>
    <row r="93" spans="6:20" x14ac:dyDescent="0.35">
      <c r="F93" s="10" t="s">
        <v>47</v>
      </c>
      <c r="G93">
        <v>423666</v>
      </c>
      <c r="I93" s="5" t="s">
        <v>75</v>
      </c>
      <c r="J93">
        <v>3153393</v>
      </c>
      <c r="S93" s="5" t="s">
        <v>982</v>
      </c>
      <c r="T93">
        <v>528271</v>
      </c>
    </row>
    <row r="94" spans="6:20" x14ac:dyDescent="0.35">
      <c r="F94" s="5" t="s">
        <v>867</v>
      </c>
      <c r="G94">
        <v>36014075</v>
      </c>
      <c r="I94" s="5" t="s">
        <v>867</v>
      </c>
      <c r="J94">
        <v>36014075</v>
      </c>
      <c r="S94" s="5" t="s">
        <v>985</v>
      </c>
      <c r="T94">
        <v>495417</v>
      </c>
    </row>
    <row r="95" spans="6:20" x14ac:dyDescent="0.35">
      <c r="J95" s="7">
        <f>GETPIVOTDATA("total sales",$I$83)</f>
        <v>36014075</v>
      </c>
      <c r="S95" s="5" t="s">
        <v>988</v>
      </c>
      <c r="T95">
        <v>161492</v>
      </c>
    </row>
    <row r="96" spans="6:20" x14ac:dyDescent="0.35">
      <c r="S96" s="5" t="s">
        <v>991</v>
      </c>
      <c r="T96">
        <v>507703</v>
      </c>
    </row>
    <row r="97" spans="19:20" x14ac:dyDescent="0.35">
      <c r="S97" s="5" t="s">
        <v>994</v>
      </c>
      <c r="T97">
        <v>352662</v>
      </c>
    </row>
    <row r="98" spans="19:20" x14ac:dyDescent="0.35">
      <c r="S98" s="5" t="s">
        <v>996</v>
      </c>
      <c r="T98">
        <v>189483</v>
      </c>
    </row>
    <row r="99" spans="19:20" x14ac:dyDescent="0.35">
      <c r="S99" s="5" t="s">
        <v>908</v>
      </c>
      <c r="T99">
        <v>748640</v>
      </c>
    </row>
    <row r="100" spans="19:20" x14ac:dyDescent="0.35">
      <c r="S100" s="5" t="s">
        <v>911</v>
      </c>
      <c r="T100">
        <v>206967</v>
      </c>
    </row>
    <row r="101" spans="19:20" x14ac:dyDescent="0.35">
      <c r="S101" s="5" t="s">
        <v>914</v>
      </c>
      <c r="T101">
        <v>673421</v>
      </c>
    </row>
    <row r="102" spans="19:20" x14ac:dyDescent="0.35">
      <c r="S102" s="5" t="s">
        <v>917</v>
      </c>
      <c r="T102">
        <v>463662</v>
      </c>
    </row>
    <row r="103" spans="19:20" x14ac:dyDescent="0.35">
      <c r="S103" s="5" t="s">
        <v>920</v>
      </c>
      <c r="T103">
        <v>78942</v>
      </c>
    </row>
    <row r="104" spans="19:20" x14ac:dyDescent="0.35">
      <c r="S104" s="5" t="s">
        <v>923</v>
      </c>
      <c r="T104">
        <v>355694</v>
      </c>
    </row>
    <row r="105" spans="19:20" x14ac:dyDescent="0.35">
      <c r="S105" s="5" t="s">
        <v>926</v>
      </c>
      <c r="T105">
        <v>833188</v>
      </c>
    </row>
    <row r="106" spans="19:20" x14ac:dyDescent="0.35">
      <c r="S106" s="5" t="s">
        <v>929</v>
      </c>
      <c r="T106">
        <v>212389</v>
      </c>
    </row>
    <row r="107" spans="19:20" x14ac:dyDescent="0.35">
      <c r="S107" s="5" t="s">
        <v>932</v>
      </c>
      <c r="T107">
        <v>516713</v>
      </c>
    </row>
    <row r="108" spans="19:20" x14ac:dyDescent="0.35">
      <c r="S108" s="5" t="s">
        <v>935</v>
      </c>
      <c r="T108">
        <v>403340</v>
      </c>
    </row>
    <row r="109" spans="19:20" x14ac:dyDescent="0.35">
      <c r="S109" s="5" t="s">
        <v>938</v>
      </c>
      <c r="T109">
        <v>666795</v>
      </c>
    </row>
    <row r="110" spans="19:20" x14ac:dyDescent="0.35">
      <c r="S110" s="5" t="s">
        <v>941</v>
      </c>
      <c r="T110">
        <v>479400</v>
      </c>
    </row>
    <row r="111" spans="19:20" x14ac:dyDescent="0.35">
      <c r="S111" s="5" t="s">
        <v>944</v>
      </c>
      <c r="T111">
        <v>135636</v>
      </c>
    </row>
    <row r="112" spans="19:20" x14ac:dyDescent="0.35">
      <c r="S112" s="5" t="s">
        <v>947</v>
      </c>
      <c r="T112">
        <v>462035</v>
      </c>
    </row>
    <row r="113" spans="14:20" x14ac:dyDescent="0.35">
      <c r="S113" s="5" t="s">
        <v>950</v>
      </c>
      <c r="T113">
        <v>251910</v>
      </c>
    </row>
    <row r="114" spans="14:20" x14ac:dyDescent="0.35">
      <c r="S114" s="5" t="s">
        <v>953</v>
      </c>
      <c r="T114">
        <v>532026</v>
      </c>
    </row>
    <row r="115" spans="14:20" x14ac:dyDescent="0.35">
      <c r="S115" s="5" t="s">
        <v>956</v>
      </c>
      <c r="T115">
        <v>248275</v>
      </c>
    </row>
    <row r="116" spans="14:20" x14ac:dyDescent="0.35">
      <c r="S116" s="5" t="s">
        <v>959</v>
      </c>
      <c r="T116">
        <v>277254</v>
      </c>
    </row>
    <row r="117" spans="14:20" x14ac:dyDescent="0.35">
      <c r="S117" s="5" t="s">
        <v>962</v>
      </c>
      <c r="T117">
        <v>338090</v>
      </c>
    </row>
    <row r="118" spans="14:20" x14ac:dyDescent="0.35">
      <c r="S118" s="5" t="s">
        <v>965</v>
      </c>
      <c r="T118">
        <v>452233</v>
      </c>
    </row>
    <row r="119" spans="14:20" x14ac:dyDescent="0.35">
      <c r="S119" s="5" t="s">
        <v>968</v>
      </c>
      <c r="T119">
        <v>194043</v>
      </c>
    </row>
    <row r="120" spans="14:20" x14ac:dyDescent="0.35">
      <c r="S120" s="5" t="s">
        <v>971</v>
      </c>
      <c r="T120">
        <v>446876</v>
      </c>
    </row>
    <row r="121" spans="14:20" x14ac:dyDescent="0.35">
      <c r="S121" s="5" t="s">
        <v>974</v>
      </c>
      <c r="T121">
        <v>767205</v>
      </c>
    </row>
    <row r="122" spans="14:20" x14ac:dyDescent="0.35">
      <c r="S122" s="5" t="s">
        <v>977</v>
      </c>
      <c r="T122">
        <v>379147</v>
      </c>
    </row>
    <row r="123" spans="14:20" x14ac:dyDescent="0.35">
      <c r="S123" s="5" t="s">
        <v>980</v>
      </c>
      <c r="T123">
        <v>510551</v>
      </c>
    </row>
    <row r="124" spans="14:20" x14ac:dyDescent="0.35">
      <c r="N124" s="15"/>
      <c r="O124" s="16"/>
      <c r="P124" s="17"/>
      <c r="S124" s="5" t="s">
        <v>983</v>
      </c>
      <c r="T124">
        <v>165350</v>
      </c>
    </row>
    <row r="125" spans="14:20" x14ac:dyDescent="0.35">
      <c r="N125" s="18"/>
      <c r="O125" s="19"/>
      <c r="P125" s="20"/>
      <c r="S125" s="5" t="s">
        <v>986</v>
      </c>
      <c r="T125">
        <v>587997</v>
      </c>
    </row>
    <row r="126" spans="14:20" x14ac:dyDescent="0.35">
      <c r="N126" s="18"/>
      <c r="O126" s="19"/>
      <c r="P126" s="20"/>
      <c r="S126" s="5" t="s">
        <v>989</v>
      </c>
      <c r="T126">
        <v>281105</v>
      </c>
    </row>
    <row r="127" spans="14:20" x14ac:dyDescent="0.35">
      <c r="N127" s="18"/>
      <c r="O127" s="19"/>
      <c r="P127" s="20"/>
      <c r="S127" s="5" t="s">
        <v>992</v>
      </c>
      <c r="T127">
        <v>477791</v>
      </c>
    </row>
    <row r="128" spans="14:20" x14ac:dyDescent="0.35">
      <c r="N128" s="18"/>
      <c r="O128" s="19"/>
      <c r="P128" s="20"/>
      <c r="S128" s="5" t="s">
        <v>995</v>
      </c>
      <c r="T128">
        <v>536416</v>
      </c>
    </row>
    <row r="129" spans="14:20" x14ac:dyDescent="0.35">
      <c r="N129" s="18"/>
      <c r="O129" s="19"/>
      <c r="P129" s="20"/>
      <c r="S129" s="5" t="s">
        <v>867</v>
      </c>
      <c r="T129">
        <v>36014075</v>
      </c>
    </row>
    <row r="130" spans="14:20" x14ac:dyDescent="0.35">
      <c r="N130" s="18"/>
      <c r="O130" s="19"/>
      <c r="P130" s="20"/>
    </row>
    <row r="131" spans="14:20" x14ac:dyDescent="0.35">
      <c r="N131" s="18"/>
      <c r="O131" s="19"/>
      <c r="P131" s="20"/>
    </row>
    <row r="132" spans="14:20" x14ac:dyDescent="0.35">
      <c r="N132" s="18"/>
      <c r="O132" s="19"/>
      <c r="P132" s="20"/>
    </row>
    <row r="133" spans="14:20" x14ac:dyDescent="0.35">
      <c r="N133" s="18"/>
      <c r="O133" s="19"/>
      <c r="P133" s="20"/>
    </row>
    <row r="134" spans="14:20" x14ac:dyDescent="0.35">
      <c r="N134" s="18"/>
      <c r="O134" s="19"/>
      <c r="P134" s="20"/>
    </row>
    <row r="135" spans="14:20" x14ac:dyDescent="0.35">
      <c r="N135" s="18"/>
      <c r="O135" s="19"/>
      <c r="P135" s="20"/>
    </row>
    <row r="136" spans="14:20" x14ac:dyDescent="0.35">
      <c r="N136" s="18"/>
      <c r="O136" s="19"/>
      <c r="P136" s="20"/>
    </row>
    <row r="137" spans="14:20" x14ac:dyDescent="0.35">
      <c r="N137" s="18"/>
      <c r="O137" s="19"/>
      <c r="P137" s="20"/>
    </row>
    <row r="138" spans="14:20" x14ac:dyDescent="0.35">
      <c r="N138" s="18"/>
      <c r="O138" s="19"/>
      <c r="P138" s="20"/>
    </row>
    <row r="139" spans="14:20" x14ac:dyDescent="0.35">
      <c r="N139" s="18"/>
      <c r="O139" s="19"/>
      <c r="P139" s="20"/>
    </row>
    <row r="140" spans="14:20" x14ac:dyDescent="0.35">
      <c r="N140" s="18"/>
      <c r="O140" s="19"/>
      <c r="P140" s="20"/>
    </row>
    <row r="141" spans="14:20" x14ac:dyDescent="0.35">
      <c r="N141" s="21"/>
      <c r="O141" s="22"/>
      <c r="P141"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1909-6CC0-495E-A3E8-40E944490BF5}">
  <sheetPr>
    <tabColor rgb="FF6B3FA0"/>
  </sheetPr>
  <dimension ref="A1:M38"/>
  <sheetViews>
    <sheetView showGridLines="0" zoomScale="99" zoomScaleNormal="128" workbookViewId="0"/>
  </sheetViews>
  <sheetFormatPr defaultRowHeight="14.5" x14ac:dyDescent="0.35"/>
  <sheetData>
    <row r="1" spans="1:1" x14ac:dyDescent="0.35">
      <c r="A1" s="12"/>
    </row>
    <row r="38" spans="13:13" x14ac:dyDescent="0.35">
      <c r="M3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F9972-33A8-4D7B-A034-7D755C943AE6}">
  <sheetPr>
    <tabColor rgb="FF6B3FA0"/>
  </sheetPr>
  <dimension ref="M1:M38"/>
  <sheetViews>
    <sheetView showGridLines="0" zoomScale="99" zoomScaleNormal="118" workbookViewId="0"/>
  </sheetViews>
  <sheetFormatPr defaultRowHeight="14.5" x14ac:dyDescent="0.35"/>
  <sheetData>
    <row r="1" customFormat="1" x14ac:dyDescent="0.35"/>
    <row r="38" spans="13:13" x14ac:dyDescent="0.35">
      <c r="M3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D54B3-A612-4606-ADE4-F436252F426F}">
  <sheetPr>
    <tabColor rgb="FF6B3FA0"/>
  </sheetPr>
  <dimension ref="A1:M38"/>
  <sheetViews>
    <sheetView showGridLines="0" zoomScale="102" workbookViewId="0"/>
  </sheetViews>
  <sheetFormatPr defaultRowHeight="14.5" x14ac:dyDescent="0.35"/>
  <sheetData>
    <row r="1" spans="1:1" x14ac:dyDescent="0.35">
      <c r="A1" t="s">
        <v>999</v>
      </c>
    </row>
    <row r="38" spans="13:13" x14ac:dyDescent="0.35">
      <c r="M3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AF20-2C85-4714-9850-00E77E8B3C34}">
  <sheetPr>
    <tabColor rgb="FF6B3FA0"/>
  </sheetPr>
  <dimension ref="M1:M38"/>
  <sheetViews>
    <sheetView showGridLines="0" tabSelected="1" zoomScale="89" workbookViewId="0"/>
  </sheetViews>
  <sheetFormatPr defaultRowHeight="14.5" x14ac:dyDescent="0.35"/>
  <sheetData>
    <row r="1" customFormat="1" x14ac:dyDescent="0.35"/>
    <row r="38" spans="13:13" x14ac:dyDescent="0.35">
      <c r="M3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Questions</vt:lpstr>
      <vt:lpstr>pivot</vt:lpstr>
      <vt:lpstr>dashboard</vt:lpstr>
      <vt:lpstr>dashboard1</vt:lpstr>
      <vt:lpstr>dashboard 2</vt:lpstr>
      <vt:lpstr>dashboard 3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JOSEPH ALABI</cp:lastModifiedBy>
  <dcterms:created xsi:type="dcterms:W3CDTF">2025-10-06T07:53:11Z</dcterms:created>
  <dcterms:modified xsi:type="dcterms:W3CDTF">2025-10-21T11:57:23Z</dcterms:modified>
</cp:coreProperties>
</file>